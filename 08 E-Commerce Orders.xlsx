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D:\Data Analysis\projects\"/>
    </mc:Choice>
  </mc:AlternateContent>
  <xr:revisionPtr revIDLastSave="0" documentId="13_ncr:1_{7E96F920-0240-4BFF-9E12-4A11C553A851}" xr6:coauthVersionLast="47" xr6:coauthVersionMax="47" xr10:uidLastSave="{00000000-0000-0000-0000-000000000000}"/>
  <bookViews>
    <workbookView xWindow="-108" yWindow="-108" windowWidth="23256" windowHeight="12456" firstSheet="1" activeTab="3" xr2:uid="{E58E7B76-BBA2-4FEA-9902-8DB1E54E41DD}"/>
  </bookViews>
  <sheets>
    <sheet name="Data" sheetId="1" r:id="rId1"/>
    <sheet name="Pivot table" sheetId="3" r:id="rId2"/>
    <sheet name="Analysis" sheetId="2" r:id="rId3"/>
    <sheet name="Dashboard" sheetId="4" r:id="rId4"/>
  </sheets>
  <definedNames>
    <definedName name="_xlnm._FilterDatabase" localSheetId="0" hidden="1">Data!$A$1:$L$1001</definedName>
    <definedName name="_xlchart.v1.0" hidden="1">'Pivot table'!$N$12:$N$16</definedName>
    <definedName name="_xlchart.v1.1" hidden="1">'Pivot table'!$O$12:$O$16</definedName>
    <definedName name="Slicer_Category">#N/A</definedName>
    <definedName name="Slicer_Region">#N/A</definedName>
    <definedName name="Slicer_Ship_Mod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43" i="4" l="1"/>
  <c r="B9" i="2"/>
  <c r="B8" i="2"/>
  <c r="B7" i="2"/>
  <c r="B6" i="2"/>
  <c r="B5" i="2"/>
  <c r="B4" i="2"/>
  <c r="B2" i="2"/>
  <c r="B3" i="2"/>
</calcChain>
</file>

<file path=xl/sharedStrings.xml><?xml version="1.0" encoding="utf-8"?>
<sst xmlns="http://schemas.openxmlformats.org/spreadsheetml/2006/main" count="6080" uniqueCount="1774">
  <si>
    <t>Order ID</t>
  </si>
  <si>
    <t>Order Date</t>
  </si>
  <si>
    <t>Customer Name</t>
  </si>
  <si>
    <t>Region</t>
  </si>
  <si>
    <t>Product Name</t>
  </si>
  <si>
    <t>Category</t>
  </si>
  <si>
    <t>Quantity</t>
  </si>
  <si>
    <t>Unit Price</t>
  </si>
  <si>
    <t>Discount %</t>
  </si>
  <si>
    <t>Total Revenue</t>
  </si>
  <si>
    <t>Profit</t>
  </si>
  <si>
    <t>Ship Mode</t>
  </si>
  <si>
    <t>ORD-10001</t>
  </si>
  <si>
    <t>Betty Miller</t>
  </si>
  <si>
    <t>West</t>
  </si>
  <si>
    <t>Portable Charger</t>
  </si>
  <si>
    <t>Electronics</t>
  </si>
  <si>
    <t>Standard</t>
  </si>
  <si>
    <t>ORD-10002</t>
  </si>
  <si>
    <t>Linda Lewis</t>
  </si>
  <si>
    <t>Central</t>
  </si>
  <si>
    <t>Eye Cream</t>
  </si>
  <si>
    <t>Beauty</t>
  </si>
  <si>
    <t>Express</t>
  </si>
  <si>
    <t>ORD-10003</t>
  </si>
  <si>
    <t>Robert Smith</t>
  </si>
  <si>
    <t>North</t>
  </si>
  <si>
    <t>Perfume Travel</t>
  </si>
  <si>
    <t>ORD-10004</t>
  </si>
  <si>
    <t>Jennifer Garcia</t>
  </si>
  <si>
    <t>Webcam HD</t>
  </si>
  <si>
    <t>ORD-10005</t>
  </si>
  <si>
    <t>Jessica Clark</t>
  </si>
  <si>
    <t>Keyboard Mechanical</t>
  </si>
  <si>
    <t>Same Day</t>
  </si>
  <si>
    <t>ORD-10006</t>
  </si>
  <si>
    <t>Steven Martinez</t>
  </si>
  <si>
    <t>East</t>
  </si>
  <si>
    <t>Throw Blanket</t>
  </si>
  <si>
    <t>Home</t>
  </si>
  <si>
    <t>ORD-10007</t>
  </si>
  <si>
    <t>Donna Harris</t>
  </si>
  <si>
    <t>South</t>
  </si>
  <si>
    <t>Body Lotion</t>
  </si>
  <si>
    <t>ORD-10008</t>
  </si>
  <si>
    <t>Ashley Gonzalez</t>
  </si>
  <si>
    <t>ORD-10009</t>
  </si>
  <si>
    <t>Emily Ramirez</t>
  </si>
  <si>
    <t>Casual Sneakers</t>
  </si>
  <si>
    <t>Clothing</t>
  </si>
  <si>
    <t>ORD-10010</t>
  </si>
  <si>
    <t>Richard Moore</t>
  </si>
  <si>
    <t>Cutting Board</t>
  </si>
  <si>
    <t>ORD-10011</t>
  </si>
  <si>
    <t>Michelle Moore</t>
  </si>
  <si>
    <t>USB-C Hub</t>
  </si>
  <si>
    <t>ORD-10012</t>
  </si>
  <si>
    <t>Anthony Lee</t>
  </si>
  <si>
    <t>Yoga Pants</t>
  </si>
  <si>
    <t>ORD-10013</t>
  </si>
  <si>
    <t>Daniel Davis</t>
  </si>
  <si>
    <t>Scented Candle Set</t>
  </si>
  <si>
    <t>ORD-10014</t>
  </si>
  <si>
    <t>Carol Jackson</t>
  </si>
  <si>
    <t>Smart Watch</t>
  </si>
  <si>
    <t>ORD-10015</t>
  </si>
  <si>
    <t>Thomas Moore</t>
  </si>
  <si>
    <t>ORD-10016</t>
  </si>
  <si>
    <t>Karen Robinson</t>
  </si>
  <si>
    <t>Desk Lamp</t>
  </si>
  <si>
    <t>ORD-10017</t>
  </si>
  <si>
    <t>Linda Davis</t>
  </si>
  <si>
    <t>ORD-10018</t>
  </si>
  <si>
    <t>Thomas Perez</t>
  </si>
  <si>
    <t>Foam Roller</t>
  </si>
  <si>
    <t>Sports</t>
  </si>
  <si>
    <t>ORD-10019</t>
  </si>
  <si>
    <t>Matthew Lee</t>
  </si>
  <si>
    <t>ORD-10020</t>
  </si>
  <si>
    <t>Lisa Moore</t>
  </si>
  <si>
    <t>Bluetooth Speaker</t>
  </si>
  <si>
    <t>ORD-10021</t>
  </si>
  <si>
    <t>Michelle Jackson</t>
  </si>
  <si>
    <t>Nail Polish Set</t>
  </si>
  <si>
    <t>ORD-10022</t>
  </si>
  <si>
    <t>William Gonzalez</t>
  </si>
  <si>
    <t>ORD-10023</t>
  </si>
  <si>
    <t>Karen Brown</t>
  </si>
  <si>
    <t>Sunscreen SPF50</t>
  </si>
  <si>
    <t>ORD-10024</t>
  </si>
  <si>
    <t>Joshua Garcia</t>
  </si>
  <si>
    <t>Athletic Socks</t>
  </si>
  <si>
    <t>ORD-10025</t>
  </si>
  <si>
    <t>Mary Lee</t>
  </si>
  <si>
    <t>Jump Rope</t>
  </si>
  <si>
    <t>ORD-10026</t>
  </si>
  <si>
    <t>Ashley Garcia</t>
  </si>
  <si>
    <t>ORD-10027</t>
  </si>
  <si>
    <t>Carol Davis</t>
  </si>
  <si>
    <t>ORD-10028</t>
  </si>
  <si>
    <t>Jessica Miller</t>
  </si>
  <si>
    <t>ORD-10029</t>
  </si>
  <si>
    <t>Andrew Brown</t>
  </si>
  <si>
    <t>ORD-10030</t>
  </si>
  <si>
    <t>Karen Harris</t>
  </si>
  <si>
    <t>Pillow Set</t>
  </si>
  <si>
    <t>ORD-10031</t>
  </si>
  <si>
    <t>Richard Robinson</t>
  </si>
  <si>
    <t>Swim Goggles</t>
  </si>
  <si>
    <t>ORD-10032</t>
  </si>
  <si>
    <t>Nancy Martinez</t>
  </si>
  <si>
    <t>Denim Jacket</t>
  </si>
  <si>
    <t>ORD-10033</t>
  </si>
  <si>
    <t>Thomas Clark</t>
  </si>
  <si>
    <t>ORD-10034</t>
  </si>
  <si>
    <t>Dorothy Perez</t>
  </si>
  <si>
    <t>ORD-10035</t>
  </si>
  <si>
    <t>Susan Clark</t>
  </si>
  <si>
    <t>Rain Jacket</t>
  </si>
  <si>
    <t>ORD-10036</t>
  </si>
  <si>
    <t>Kenneth Lopez</t>
  </si>
  <si>
    <t>ORD-10037</t>
  </si>
  <si>
    <t>Michael Johnson</t>
  </si>
  <si>
    <t>ORD-10038</t>
  </si>
  <si>
    <t>William Williams</t>
  </si>
  <si>
    <t>ORD-10039</t>
  </si>
  <si>
    <t>Andrew Davis</t>
  </si>
  <si>
    <t>ORD-10040</t>
  </si>
  <si>
    <t>Joseph Williams</t>
  </si>
  <si>
    <t>ORD-10041</t>
  </si>
  <si>
    <t>Sandra Lopez</t>
  </si>
  <si>
    <t>ORD-10042</t>
  </si>
  <si>
    <t>Thomas Thomas</t>
  </si>
  <si>
    <t>Dumbbells 10lb</t>
  </si>
  <si>
    <t>ORD-10043</t>
  </si>
  <si>
    <t>Donna Jackson</t>
  </si>
  <si>
    <t>Water Bottle</t>
  </si>
  <si>
    <t>ORD-10044</t>
  </si>
  <si>
    <t>Michael Perez</t>
  </si>
  <si>
    <t>ORD-10045</t>
  </si>
  <si>
    <t>Daniel Jones</t>
  </si>
  <si>
    <t>Laptop Stand</t>
  </si>
  <si>
    <t>ORD-10046</t>
  </si>
  <si>
    <t>Donna Robinson</t>
  </si>
  <si>
    <t>ORD-10047</t>
  </si>
  <si>
    <t>Dorothy Sanchez</t>
  </si>
  <si>
    <t>ORD-10048</t>
  </si>
  <si>
    <t>Thomas White</t>
  </si>
  <si>
    <t>Mouse Wireless</t>
  </si>
  <si>
    <t>ORD-10049</t>
  </si>
  <si>
    <t>Jessica Jones</t>
  </si>
  <si>
    <t>Blender</t>
  </si>
  <si>
    <t>ORD-10050</t>
  </si>
  <si>
    <t>Ashley Wilson</t>
  </si>
  <si>
    <t>Knife Set</t>
  </si>
  <si>
    <t>ORD-10051</t>
  </si>
  <si>
    <t>Elizabeth Martinez</t>
  </si>
  <si>
    <t>ORD-10052</t>
  </si>
  <si>
    <t>Betty Harris</t>
  </si>
  <si>
    <t>ORD-10053</t>
  </si>
  <si>
    <t>Matthew Jones</t>
  </si>
  <si>
    <t>ORD-10054</t>
  </si>
  <si>
    <t>Anthony Ramirez</t>
  </si>
  <si>
    <t>ORD-10055</t>
  </si>
  <si>
    <t>Donald Thomas</t>
  </si>
  <si>
    <t>ORD-10056</t>
  </si>
  <si>
    <t>Robert Garcia</t>
  </si>
  <si>
    <t>ORD-10057</t>
  </si>
  <si>
    <t>Donna Ramirez</t>
  </si>
  <si>
    <t>ORD-10058</t>
  </si>
  <si>
    <t>Linda Perez</t>
  </si>
  <si>
    <t>ORD-10059</t>
  </si>
  <si>
    <t>Ashley Brown</t>
  </si>
  <si>
    <t>ORD-10060</t>
  </si>
  <si>
    <t>Kimberly Miller</t>
  </si>
  <si>
    <t>ORD-10061</t>
  </si>
  <si>
    <t>Carol Lopez</t>
  </si>
  <si>
    <t>Cotton T-Shirt</t>
  </si>
  <si>
    <t>ORD-10062</t>
  </si>
  <si>
    <t>Sandra Martinez</t>
  </si>
  <si>
    <t>ORD-10063</t>
  </si>
  <si>
    <t>Carol Rodriguez</t>
  </si>
  <si>
    <t>ORD-10064</t>
  </si>
  <si>
    <t>Mark Smith</t>
  </si>
  <si>
    <t>Cargo Shorts</t>
  </si>
  <si>
    <t>ORD-10065</t>
  </si>
  <si>
    <t>William Ramirez</t>
  </si>
  <si>
    <t>Resistance Bands</t>
  </si>
  <si>
    <t>ORD-10066</t>
  </si>
  <si>
    <t>Ashley Martinez</t>
  </si>
  <si>
    <t>ORD-10067</t>
  </si>
  <si>
    <t>Kimberly Jones</t>
  </si>
  <si>
    <t>ORD-10068</t>
  </si>
  <si>
    <t>Betty Garcia</t>
  </si>
  <si>
    <t>ORD-10069</t>
  </si>
  <si>
    <t>Andrew Hernandez</t>
  </si>
  <si>
    <t>ORD-10070</t>
  </si>
  <si>
    <t>Richard Thomas</t>
  </si>
  <si>
    <t>ORD-10071</t>
  </si>
  <si>
    <t>Daniel Thomas</t>
  </si>
  <si>
    <t>ORD-10072</t>
  </si>
  <si>
    <t>Betty Wilson</t>
  </si>
  <si>
    <t>ORD-10073</t>
  </si>
  <si>
    <t>Susan Jackson</t>
  </si>
  <si>
    <t>ORD-10074</t>
  </si>
  <si>
    <t>Emily Smith</t>
  </si>
  <si>
    <t>ORD-10075</t>
  </si>
  <si>
    <t>William Martinez</t>
  </si>
  <si>
    <t>Face Moisturizer</t>
  </si>
  <si>
    <t>ORD-10076</t>
  </si>
  <si>
    <t>Joshua Smith</t>
  </si>
  <si>
    <t>Door Mat</t>
  </si>
  <si>
    <t>ORD-10077</t>
  </si>
  <si>
    <t>Richard Smith</t>
  </si>
  <si>
    <t>Wool Sweater</t>
  </si>
  <si>
    <t>ORD-10078</t>
  </si>
  <si>
    <t>Karen Anderson</t>
  </si>
  <si>
    <t>ORD-10079</t>
  </si>
  <si>
    <t>ORD-10080</t>
  </si>
  <si>
    <t>Daniel Robinson</t>
  </si>
  <si>
    <t>ORD-10081</t>
  </si>
  <si>
    <t>Elizabeth Anderson</t>
  </si>
  <si>
    <t>Hair Oil</t>
  </si>
  <si>
    <t>ORD-10082</t>
  </si>
  <si>
    <t>Steven Harris</t>
  </si>
  <si>
    <t>ORD-10083</t>
  </si>
  <si>
    <t>Sandra Thomas</t>
  </si>
  <si>
    <t>Coffee Maker</t>
  </si>
  <si>
    <t>ORD-10084</t>
  </si>
  <si>
    <t>Karen Miller</t>
  </si>
  <si>
    <t>ORD-10085</t>
  </si>
  <si>
    <t>Mark Thomas</t>
  </si>
  <si>
    <t>Face Mask Pack</t>
  </si>
  <si>
    <t>ORD-10086</t>
  </si>
  <si>
    <t>Kevin Taylor</t>
  </si>
  <si>
    <t>ORD-10087</t>
  </si>
  <si>
    <t>ORD-10088</t>
  </si>
  <si>
    <t>Matthew Taylor</t>
  </si>
  <si>
    <t>ORD-10089</t>
  </si>
  <si>
    <t>Kimberly Martinez</t>
  </si>
  <si>
    <t>ORD-10090</t>
  </si>
  <si>
    <t>Betty Anderson</t>
  </si>
  <si>
    <t>ORD-10091</t>
  </si>
  <si>
    <t>Michelle Smith</t>
  </si>
  <si>
    <t>ORD-10092</t>
  </si>
  <si>
    <t>Daniel Lewis</t>
  </si>
  <si>
    <t>Yoga Mat</t>
  </si>
  <si>
    <t>ORD-10093</t>
  </si>
  <si>
    <t>Linda Lee</t>
  </si>
  <si>
    <t>ORD-10094</t>
  </si>
  <si>
    <t>Susan Garcia</t>
  </si>
  <si>
    <t>ORD-10095</t>
  </si>
  <si>
    <t>Donna Wilson</t>
  </si>
  <si>
    <t>Running Shoes</t>
  </si>
  <si>
    <t>ORD-10096</t>
  </si>
  <si>
    <t>ORD-10097</t>
  </si>
  <si>
    <t>Andrew Taylor</t>
  </si>
  <si>
    <t>ORD-10098</t>
  </si>
  <si>
    <t>Karen Garcia</t>
  </si>
  <si>
    <t>ORD-10099</t>
  </si>
  <si>
    <t>Ashley Davis</t>
  </si>
  <si>
    <t>ORD-10100</t>
  </si>
  <si>
    <t>Steven White</t>
  </si>
  <si>
    <t>ORD-10101</t>
  </si>
  <si>
    <t>Karen Williams</t>
  </si>
  <si>
    <t>ORD-10102</t>
  </si>
  <si>
    <t>Andrew Gonzalez</t>
  </si>
  <si>
    <t>ORD-10103</t>
  </si>
  <si>
    <t>Christopher Brown</t>
  </si>
  <si>
    <t>Cycling Gloves</t>
  </si>
  <si>
    <t>ORD-10104</t>
  </si>
  <si>
    <t>Emily Lee</t>
  </si>
  <si>
    <t>ORD-10105</t>
  </si>
  <si>
    <t>Betty Robinson</t>
  </si>
  <si>
    <t>ORD-10106</t>
  </si>
  <si>
    <t>Barbara Lewis</t>
  </si>
  <si>
    <t>ORD-10107</t>
  </si>
  <si>
    <t>Elizabeth Sanchez</t>
  </si>
  <si>
    <t>ORD-10108</t>
  </si>
  <si>
    <t>Mary Jones</t>
  </si>
  <si>
    <t>ORD-10109</t>
  </si>
  <si>
    <t>Matthew Martinez</t>
  </si>
  <si>
    <t>ORD-10110</t>
  </si>
  <si>
    <t>Joseph Sanchez</t>
  </si>
  <si>
    <t>ORD-10111</t>
  </si>
  <si>
    <t>Robert Hernandez</t>
  </si>
  <si>
    <t>Storage Bins</t>
  </si>
  <si>
    <t>ORD-10112</t>
  </si>
  <si>
    <t>Lisa Lee</t>
  </si>
  <si>
    <t>ORD-10113</t>
  </si>
  <si>
    <t>Barbara Wilson</t>
  </si>
  <si>
    <t>Lip Balm Set</t>
  </si>
  <si>
    <t>ORD-10114</t>
  </si>
  <si>
    <t>ORD-10115</t>
  </si>
  <si>
    <t>Karen Moore</t>
  </si>
  <si>
    <t>ORD-10116</t>
  </si>
  <si>
    <t>Kenneth Brown</t>
  </si>
  <si>
    <t>ORD-10117</t>
  </si>
  <si>
    <t>Dorothy Rodriguez</t>
  </si>
  <si>
    <t>ORD-10118</t>
  </si>
  <si>
    <t>Richard Brown</t>
  </si>
  <si>
    <t>ORD-10119</t>
  </si>
  <si>
    <t>Jennifer Martinez</t>
  </si>
  <si>
    <t>ORD-10120</t>
  </si>
  <si>
    <t>Jessica Thompson</t>
  </si>
  <si>
    <t>ORD-10121</t>
  </si>
  <si>
    <t>Emily Davis</t>
  </si>
  <si>
    <t>ORD-10122</t>
  </si>
  <si>
    <t>Joshua Davis</t>
  </si>
  <si>
    <t>Tennis Balls</t>
  </si>
  <si>
    <t>ORD-10123</t>
  </si>
  <si>
    <t>ORD-10124</t>
  </si>
  <si>
    <t>Robert Williams</t>
  </si>
  <si>
    <t>ORD-10125</t>
  </si>
  <si>
    <t>Tablet Case</t>
  </si>
  <si>
    <t>ORD-10126</t>
  </si>
  <si>
    <t>Richard Thompson</t>
  </si>
  <si>
    <t>ORD-10127</t>
  </si>
  <si>
    <t>Mary Anderson</t>
  </si>
  <si>
    <t>ORD-10128</t>
  </si>
  <si>
    <t>Kevin Martin</t>
  </si>
  <si>
    <t>ORD-10129</t>
  </si>
  <si>
    <t>Emily Williams</t>
  </si>
  <si>
    <t>ORD-10130</t>
  </si>
  <si>
    <t>Wireless Headphones</t>
  </si>
  <si>
    <t>ORD-10131</t>
  </si>
  <si>
    <t>Kevin Martinez</t>
  </si>
  <si>
    <t>ORD-10132</t>
  </si>
  <si>
    <t>Betty Lee</t>
  </si>
  <si>
    <t>ORD-10133</t>
  </si>
  <si>
    <t>Ashley Johnson</t>
  </si>
  <si>
    <t>ORD-10134</t>
  </si>
  <si>
    <t>Richard Anderson</t>
  </si>
  <si>
    <t>ORD-10135</t>
  </si>
  <si>
    <t>Emily Martin</t>
  </si>
  <si>
    <t>ORD-10136</t>
  </si>
  <si>
    <t>Barbara Martinez</t>
  </si>
  <si>
    <t>ORD-10137</t>
  </si>
  <si>
    <t>Michael Ramirez</t>
  </si>
  <si>
    <t>ORD-10138</t>
  </si>
  <si>
    <t>Joseph Jones</t>
  </si>
  <si>
    <t>ORD-10139</t>
  </si>
  <si>
    <t>Matthew Johnson</t>
  </si>
  <si>
    <t>ORD-10140</t>
  </si>
  <si>
    <t>Robert Clark</t>
  </si>
  <si>
    <t>ORD-10141</t>
  </si>
  <si>
    <t>Richard Lee</t>
  </si>
  <si>
    <t>ORD-10142</t>
  </si>
  <si>
    <t>ORD-10143</t>
  </si>
  <si>
    <t>Linda Martinez</t>
  </si>
  <si>
    <t>ORD-10144</t>
  </si>
  <si>
    <t>Richard Gonzalez</t>
  </si>
  <si>
    <t>ORD-10145</t>
  </si>
  <si>
    <t>Barbara Lee</t>
  </si>
  <si>
    <t>ORD-10146</t>
  </si>
  <si>
    <t>Sarah Clark</t>
  </si>
  <si>
    <t>ORD-10147</t>
  </si>
  <si>
    <t>Mary Thomas</t>
  </si>
  <si>
    <t>ORD-10148</t>
  </si>
  <si>
    <t>Thomas Smith</t>
  </si>
  <si>
    <t>ORD-10149</t>
  </si>
  <si>
    <t>Thomas Brown</t>
  </si>
  <si>
    <t>ORD-10150</t>
  </si>
  <si>
    <t>Emily Thompson</t>
  </si>
  <si>
    <t>ORD-10151</t>
  </si>
  <si>
    <t>Kimberly Wilson</t>
  </si>
  <si>
    <t>ORD-10152</t>
  </si>
  <si>
    <t>Donald Brown</t>
  </si>
  <si>
    <t>ORD-10153</t>
  </si>
  <si>
    <t>James Brown</t>
  </si>
  <si>
    <t>ORD-10154</t>
  </si>
  <si>
    <t>ORD-10155</t>
  </si>
  <si>
    <t>Michelle Thompson</t>
  </si>
  <si>
    <t>ORD-10156</t>
  </si>
  <si>
    <t>Daniel Johnson</t>
  </si>
  <si>
    <t>ORD-10157</t>
  </si>
  <si>
    <t>Mary Miller</t>
  </si>
  <si>
    <t>ORD-10158</t>
  </si>
  <si>
    <t>Robert Robinson</t>
  </si>
  <si>
    <t>ORD-10159</t>
  </si>
  <si>
    <t>Jessica Ramirez</t>
  </si>
  <si>
    <t>ORD-10160</t>
  </si>
  <si>
    <t>Joshua Harris</t>
  </si>
  <si>
    <t>ORD-10161</t>
  </si>
  <si>
    <t>Elizabeth Jackson</t>
  </si>
  <si>
    <t>ORD-10162</t>
  </si>
  <si>
    <t>Daniel Jackson</t>
  </si>
  <si>
    <t>ORD-10163</t>
  </si>
  <si>
    <t>Elizabeth Williams</t>
  </si>
  <si>
    <t>ORD-10164</t>
  </si>
  <si>
    <t>Richard Martinez</t>
  </si>
  <si>
    <t>ORD-10165</t>
  </si>
  <si>
    <t>Mark Miller</t>
  </si>
  <si>
    <t>ORD-10166</t>
  </si>
  <si>
    <t>Kimberly Martin</t>
  </si>
  <si>
    <t>ORD-10167</t>
  </si>
  <si>
    <t>Ashley Thompson</t>
  </si>
  <si>
    <t>ORD-10168</t>
  </si>
  <si>
    <t>Matthew Thomas</t>
  </si>
  <si>
    <t>ORD-10169</t>
  </si>
  <si>
    <t>Betty Lewis</t>
  </si>
  <si>
    <t>ORD-10170</t>
  </si>
  <si>
    <t>Nancy Lopez</t>
  </si>
  <si>
    <t>ORD-10171</t>
  </si>
  <si>
    <t>Sandra Thompson</t>
  </si>
  <si>
    <t>ORD-10172</t>
  </si>
  <si>
    <t>ORD-10173</t>
  </si>
  <si>
    <t>Carol Johnson</t>
  </si>
  <si>
    <t>ORD-10174</t>
  </si>
  <si>
    <t>ORD-10175</t>
  </si>
  <si>
    <t>ORD-10176</t>
  </si>
  <si>
    <t>Susan Johnson</t>
  </si>
  <si>
    <t>ORD-10177</t>
  </si>
  <si>
    <t>William Davis</t>
  </si>
  <si>
    <t>ORD-10178</t>
  </si>
  <si>
    <t>Carol Sanchez</t>
  </si>
  <si>
    <t>ORD-10179</t>
  </si>
  <si>
    <t>Susan White</t>
  </si>
  <si>
    <t>ORD-10180</t>
  </si>
  <si>
    <t>Sandra Perez</t>
  </si>
  <si>
    <t>ORD-10181</t>
  </si>
  <si>
    <t>Elizabeth White</t>
  </si>
  <si>
    <t>ORD-10182</t>
  </si>
  <si>
    <t>Michelle Thomas</t>
  </si>
  <si>
    <t>ORD-10183</t>
  </si>
  <si>
    <t>Michael Jackson</t>
  </si>
  <si>
    <t>ORD-10184</t>
  </si>
  <si>
    <t>Lisa Lewis</t>
  </si>
  <si>
    <t>ORD-10185</t>
  </si>
  <si>
    <t>Betty Martinez</t>
  </si>
  <si>
    <t>ORD-10186</t>
  </si>
  <si>
    <t>Mark Perez</t>
  </si>
  <si>
    <t>ORD-10187</t>
  </si>
  <si>
    <t>William Johnson</t>
  </si>
  <si>
    <t>ORD-10188</t>
  </si>
  <si>
    <t>Daniel Sanchez</t>
  </si>
  <si>
    <t>ORD-10189</t>
  </si>
  <si>
    <t>Sarah Jackson</t>
  </si>
  <si>
    <t>ORD-10190</t>
  </si>
  <si>
    <t>Nancy Martin</t>
  </si>
  <si>
    <t>ORD-10191</t>
  </si>
  <si>
    <t>Joshua Brown</t>
  </si>
  <si>
    <t>ORD-10192</t>
  </si>
  <si>
    <t>Michelle Johnson</t>
  </si>
  <si>
    <t>ORD-10193</t>
  </si>
  <si>
    <t>Steven Ramirez</t>
  </si>
  <si>
    <t>ORD-10194</t>
  </si>
  <si>
    <t>Sarah Hernandez</t>
  </si>
  <si>
    <t>ORD-10195</t>
  </si>
  <si>
    <t>William Harris</t>
  </si>
  <si>
    <t>ORD-10196</t>
  </si>
  <si>
    <t>Kenneth Harris</t>
  </si>
  <si>
    <t>ORD-10197</t>
  </si>
  <si>
    <t>Michelle Sanchez</t>
  </si>
  <si>
    <t>ORD-10198</t>
  </si>
  <si>
    <t>Christopher Garcia</t>
  </si>
  <si>
    <t>ORD-10199</t>
  </si>
  <si>
    <t>Kevin Lee</t>
  </si>
  <si>
    <t>ORD-10200</t>
  </si>
  <si>
    <t>Michelle Ramirez</t>
  </si>
  <si>
    <t>Gym Bag</t>
  </si>
  <si>
    <t>ORD-10201</t>
  </si>
  <si>
    <t>ORD-10202</t>
  </si>
  <si>
    <t>Dorothy Davis</t>
  </si>
  <si>
    <t>ORD-10203</t>
  </si>
  <si>
    <t>Barbara Lopez</t>
  </si>
  <si>
    <t>ORD-10204</t>
  </si>
  <si>
    <t>Sandra Harris</t>
  </si>
  <si>
    <t>ORD-10205</t>
  </si>
  <si>
    <t>Andrew Harris</t>
  </si>
  <si>
    <t>ORD-10206</t>
  </si>
  <si>
    <t>Mark Davis</t>
  </si>
  <si>
    <t>ORD-10207</t>
  </si>
  <si>
    <t>Robert Perez</t>
  </si>
  <si>
    <t>ORD-10208</t>
  </si>
  <si>
    <t>Mark Moore</t>
  </si>
  <si>
    <t>ORD-10209</t>
  </si>
  <si>
    <t>Linda Hernandez</t>
  </si>
  <si>
    <t>ORD-10210</t>
  </si>
  <si>
    <t>Anthony Lopez</t>
  </si>
  <si>
    <t>ORD-10211</t>
  </si>
  <si>
    <t>James Smith</t>
  </si>
  <si>
    <t>ORD-10212</t>
  </si>
  <si>
    <t>Linda Johnson</t>
  </si>
  <si>
    <t>ORD-10213</t>
  </si>
  <si>
    <t>Donald Wilson</t>
  </si>
  <si>
    <t>ORD-10214</t>
  </si>
  <si>
    <t>Ashley Moore</t>
  </si>
  <si>
    <t>ORD-10215</t>
  </si>
  <si>
    <t>ORD-10216</t>
  </si>
  <si>
    <t>Steven Davis</t>
  </si>
  <si>
    <t>ORD-10217</t>
  </si>
  <si>
    <t>Donald Smith</t>
  </si>
  <si>
    <t>ORD-10218</t>
  </si>
  <si>
    <t>David Wilson</t>
  </si>
  <si>
    <t>ORD-10219</t>
  </si>
  <si>
    <t>Robert Brown</t>
  </si>
  <si>
    <t>ORD-10220</t>
  </si>
  <si>
    <t>Linda Anderson</t>
  </si>
  <si>
    <t>ORD-10221</t>
  </si>
  <si>
    <t>ORD-10222</t>
  </si>
  <si>
    <t>Jennifer Lopez</t>
  </si>
  <si>
    <t>Shampoo Organic</t>
  </si>
  <si>
    <t>ORD-10223</t>
  </si>
  <si>
    <t>Betty Ramirez</t>
  </si>
  <si>
    <t>ORD-10224</t>
  </si>
  <si>
    <t>Joseph Thompson</t>
  </si>
  <si>
    <t>ORD-10225</t>
  </si>
  <si>
    <t>Karen Lee</t>
  </si>
  <si>
    <t>ORD-10226</t>
  </si>
  <si>
    <t>Barbara Brown</t>
  </si>
  <si>
    <t>ORD-10227</t>
  </si>
  <si>
    <t>Joseph Moore</t>
  </si>
  <si>
    <t>ORD-10228</t>
  </si>
  <si>
    <t>Matthew Brown</t>
  </si>
  <si>
    <t>ORD-10229</t>
  </si>
  <si>
    <t>Sandra Robinson</t>
  </si>
  <si>
    <t>ORD-10230</t>
  </si>
  <si>
    <t>Christopher Anderson</t>
  </si>
  <si>
    <t>ORD-10231</t>
  </si>
  <si>
    <t>Steven Brown</t>
  </si>
  <si>
    <t>ORD-10232</t>
  </si>
  <si>
    <t>ORD-10233</t>
  </si>
  <si>
    <t>Karen Perez</t>
  </si>
  <si>
    <t>ORD-10234</t>
  </si>
  <si>
    <t>Robert Lee</t>
  </si>
  <si>
    <t>ORD-10235</t>
  </si>
  <si>
    <t>Michael Clark</t>
  </si>
  <si>
    <t>ORD-10236</t>
  </si>
  <si>
    <t>Daniel Williams</t>
  </si>
  <si>
    <t>ORD-10237</t>
  </si>
  <si>
    <t>Sarah Sanchez</t>
  </si>
  <si>
    <t>ORD-10238</t>
  </si>
  <si>
    <t>Donald Sanchez</t>
  </si>
  <si>
    <t>ORD-10239</t>
  </si>
  <si>
    <t>Sarah Johnson</t>
  </si>
  <si>
    <t>ORD-10240</t>
  </si>
  <si>
    <t>James Harris</t>
  </si>
  <si>
    <t>ORD-10241</t>
  </si>
  <si>
    <t>Donna Davis</t>
  </si>
  <si>
    <t>ORD-10242</t>
  </si>
  <si>
    <t>Joshua Williams</t>
  </si>
  <si>
    <t>ORD-10243</t>
  </si>
  <si>
    <t>Lisa Wilson</t>
  </si>
  <si>
    <t>ORD-10244</t>
  </si>
  <si>
    <t>ORD-10245</t>
  </si>
  <si>
    <t>ORD-10246</t>
  </si>
  <si>
    <t>Michelle Miller</t>
  </si>
  <si>
    <t>ORD-10247</t>
  </si>
  <si>
    <t>ORD-10248</t>
  </si>
  <si>
    <t>Jennifer Wilson</t>
  </si>
  <si>
    <t>ORD-10249</t>
  </si>
  <si>
    <t>Mary Ramirez</t>
  </si>
  <si>
    <t>ORD-10250</t>
  </si>
  <si>
    <t>Jennifer Clark</t>
  </si>
  <si>
    <t>ORD-10251</t>
  </si>
  <si>
    <t>Polo Shirt</t>
  </si>
  <si>
    <t>ORD-10252</t>
  </si>
  <si>
    <t>ORD-10253</t>
  </si>
  <si>
    <t>Dorothy Thomas</t>
  </si>
  <si>
    <t>ORD-10254</t>
  </si>
  <si>
    <t>ORD-10255</t>
  </si>
  <si>
    <t>ORD-10256</t>
  </si>
  <si>
    <t>Susan Moore</t>
  </si>
  <si>
    <t>ORD-10257</t>
  </si>
  <si>
    <t>Donald Lewis</t>
  </si>
  <si>
    <t>ORD-10258</t>
  </si>
  <si>
    <t>Sarah Anderson</t>
  </si>
  <si>
    <t>ORD-10259</t>
  </si>
  <si>
    <t>Ashley Harris</t>
  </si>
  <si>
    <t>ORD-10260</t>
  </si>
  <si>
    <t>William Martin</t>
  </si>
  <si>
    <t>ORD-10261</t>
  </si>
  <si>
    <t>Richard Jackson</t>
  </si>
  <si>
    <t>ORD-10262</t>
  </si>
  <si>
    <t>Jennifer Robinson</t>
  </si>
  <si>
    <t>ORD-10263</t>
  </si>
  <si>
    <t>Thomas Williams</t>
  </si>
  <si>
    <t>ORD-10264</t>
  </si>
  <si>
    <t>Susan Brown</t>
  </si>
  <si>
    <t>ORD-10265</t>
  </si>
  <si>
    <t>Mark Ramirez</t>
  </si>
  <si>
    <t>ORD-10266</t>
  </si>
  <si>
    <t>ORD-10267</t>
  </si>
  <si>
    <t>Anthony Harris</t>
  </si>
  <si>
    <t>ORD-10268</t>
  </si>
  <si>
    <t>Nancy Hernandez</t>
  </si>
  <si>
    <t>ORD-10269</t>
  </si>
  <si>
    <t>Joseph Brown</t>
  </si>
  <si>
    <t>ORD-10270</t>
  </si>
  <si>
    <t>Karen Clark</t>
  </si>
  <si>
    <t>ORD-10271</t>
  </si>
  <si>
    <t>ORD-10272</t>
  </si>
  <si>
    <t>Donald Taylor</t>
  </si>
  <si>
    <t>ORD-10273</t>
  </si>
  <si>
    <t>Joseph Thomas</t>
  </si>
  <si>
    <t>ORD-10274</t>
  </si>
  <si>
    <t>Ashley Ramirez</t>
  </si>
  <si>
    <t>ORD-10275</t>
  </si>
  <si>
    <t>Linda Garcia</t>
  </si>
  <si>
    <t>ORD-10276</t>
  </si>
  <si>
    <t>ORD-10277</t>
  </si>
  <si>
    <t>ORD-10278</t>
  </si>
  <si>
    <t>Michael Thompson</t>
  </si>
  <si>
    <t>ORD-10279</t>
  </si>
  <si>
    <t>Mary Martinez</t>
  </si>
  <si>
    <t>ORD-10280</t>
  </si>
  <si>
    <t>Dorothy Johnson</t>
  </si>
  <si>
    <t>ORD-10281</t>
  </si>
  <si>
    <t>Karen Smith</t>
  </si>
  <si>
    <t>ORD-10282</t>
  </si>
  <si>
    <t>Steven Lopez</t>
  </si>
  <si>
    <t>ORD-10283</t>
  </si>
  <si>
    <t>ORD-10284</t>
  </si>
  <si>
    <t>ORD-10285</t>
  </si>
  <si>
    <t>ORD-10286</t>
  </si>
  <si>
    <t>Mark Jackson</t>
  </si>
  <si>
    <t>ORD-10287</t>
  </si>
  <si>
    <t>Kenneth Clark</t>
  </si>
  <si>
    <t>ORD-10288</t>
  </si>
  <si>
    <t>ORD-10289</t>
  </si>
  <si>
    <t>Linda Thomas</t>
  </si>
  <si>
    <t>ORD-10290</t>
  </si>
  <si>
    <t>Michael White</t>
  </si>
  <si>
    <t>ORD-10291</t>
  </si>
  <si>
    <t>ORD-10292</t>
  </si>
  <si>
    <t>David Jackson</t>
  </si>
  <si>
    <t>ORD-10293</t>
  </si>
  <si>
    <t>ORD-10294</t>
  </si>
  <si>
    <t>Robert Lewis</t>
  </si>
  <si>
    <t>ORD-10295</t>
  </si>
  <si>
    <t>William Rodriguez</t>
  </si>
  <si>
    <t>ORD-10296</t>
  </si>
  <si>
    <t>Daniel Taylor</t>
  </si>
  <si>
    <t>ORD-10297</t>
  </si>
  <si>
    <t>Elizabeth Johnson</t>
  </si>
  <si>
    <t>ORD-10298</t>
  </si>
  <si>
    <t>Robert Jackson</t>
  </si>
  <si>
    <t>ORD-10299</t>
  </si>
  <si>
    <t>Thomas Harris</t>
  </si>
  <si>
    <t>ORD-10300</t>
  </si>
  <si>
    <t>ORD-10301</t>
  </si>
  <si>
    <t>Joshua Rodriguez</t>
  </si>
  <si>
    <t>ORD-10302</t>
  </si>
  <si>
    <t>ORD-10303</t>
  </si>
  <si>
    <t>Sandra Brown</t>
  </si>
  <si>
    <t>ORD-10304</t>
  </si>
  <si>
    <t>James Jackson</t>
  </si>
  <si>
    <t>ORD-10305</t>
  </si>
  <si>
    <t>Joseph Gonzalez</t>
  </si>
  <si>
    <t>ORD-10306</t>
  </si>
  <si>
    <t>Michelle Robinson</t>
  </si>
  <si>
    <t>ORD-10307</t>
  </si>
  <si>
    <t>Kenneth Johnson</t>
  </si>
  <si>
    <t>ORD-10308</t>
  </si>
  <si>
    <t>Elizabeth Ramirez</t>
  </si>
  <si>
    <t>ORD-10309</t>
  </si>
  <si>
    <t>ORD-10310</t>
  </si>
  <si>
    <t>Karen Lewis</t>
  </si>
  <si>
    <t>ORD-10311</t>
  </si>
  <si>
    <t>Thomas Martinez</t>
  </si>
  <si>
    <t>ORD-10312</t>
  </si>
  <si>
    <t>Paul Martin</t>
  </si>
  <si>
    <t>ORD-10313</t>
  </si>
  <si>
    <t>Dorothy Lopez</t>
  </si>
  <si>
    <t>ORD-10314</t>
  </si>
  <si>
    <t>Ashley Robinson</t>
  </si>
  <si>
    <t>ORD-10315</t>
  </si>
  <si>
    <t>Joseph Jackson</t>
  </si>
  <si>
    <t>ORD-10316</t>
  </si>
  <si>
    <t>Daniel Lee</t>
  </si>
  <si>
    <t>ORD-10317</t>
  </si>
  <si>
    <t>Nancy Davis</t>
  </si>
  <si>
    <t>ORD-10318</t>
  </si>
  <si>
    <t>Betty Moore</t>
  </si>
  <si>
    <t>ORD-10319</t>
  </si>
  <si>
    <t>ORD-10320</t>
  </si>
  <si>
    <t>ORD-10321</t>
  </si>
  <si>
    <t>Kevin White</t>
  </si>
  <si>
    <t>ORD-10322</t>
  </si>
  <si>
    <t>ORD-10323</t>
  </si>
  <si>
    <t>Paul Thomas</t>
  </si>
  <si>
    <t>ORD-10324</t>
  </si>
  <si>
    <t>Lisa Johnson</t>
  </si>
  <si>
    <t>ORD-10325</t>
  </si>
  <si>
    <t>ORD-10326</t>
  </si>
  <si>
    <t>Carol Clark</t>
  </si>
  <si>
    <t>ORD-10327</t>
  </si>
  <si>
    <t>Christopher Williams</t>
  </si>
  <si>
    <t>ORD-10328</t>
  </si>
  <si>
    <t>David Jones</t>
  </si>
  <si>
    <t>ORD-10329</t>
  </si>
  <si>
    <t>ORD-10330</t>
  </si>
  <si>
    <t>Jennifer Brown</t>
  </si>
  <si>
    <t>ORD-10331</t>
  </si>
  <si>
    <t>Dorothy Ramirez</t>
  </si>
  <si>
    <t>ORD-10332</t>
  </si>
  <si>
    <t>ORD-10333</t>
  </si>
  <si>
    <t>Jessica Sanchez</t>
  </si>
  <si>
    <t>ORD-10334</t>
  </si>
  <si>
    <t>Matthew Moore</t>
  </si>
  <si>
    <t>ORD-10335</t>
  </si>
  <si>
    <t>Emily Perez</t>
  </si>
  <si>
    <t>ORD-10336</t>
  </si>
  <si>
    <t>Jennifer Davis</t>
  </si>
  <si>
    <t>ORD-10337</t>
  </si>
  <si>
    <t>Matthew Smith</t>
  </si>
  <si>
    <t>ORD-10338</t>
  </si>
  <si>
    <t>Christopher Rodriguez</t>
  </si>
  <si>
    <t>ORD-10339</t>
  </si>
  <si>
    <t>ORD-10340</t>
  </si>
  <si>
    <t>Donna Lee</t>
  </si>
  <si>
    <t>ORD-10341</t>
  </si>
  <si>
    <t>Emily Brown</t>
  </si>
  <si>
    <t>ORD-10342</t>
  </si>
  <si>
    <t>ORD-10343</t>
  </si>
  <si>
    <t>ORD-10344</t>
  </si>
  <si>
    <t>William Sanchez</t>
  </si>
  <si>
    <t>ORD-10345</t>
  </si>
  <si>
    <t>ORD-10346</t>
  </si>
  <si>
    <t>Nancy Thompson</t>
  </si>
  <si>
    <t>ORD-10347</t>
  </si>
  <si>
    <t>ORD-10348</t>
  </si>
  <si>
    <t>ORD-10349</t>
  </si>
  <si>
    <t>Donna Lewis</t>
  </si>
  <si>
    <t>ORD-10350</t>
  </si>
  <si>
    <t>Andrew Perez</t>
  </si>
  <si>
    <t>ORD-10351</t>
  </si>
  <si>
    <t>ORD-10352</t>
  </si>
  <si>
    <t>Joseph Lee</t>
  </si>
  <si>
    <t>ORD-10353</t>
  </si>
  <si>
    <t>ORD-10354</t>
  </si>
  <si>
    <t>Dorothy Hernandez</t>
  </si>
  <si>
    <t>ORD-10355</t>
  </si>
  <si>
    <t>Matthew Rodriguez</t>
  </si>
  <si>
    <t>ORD-10356</t>
  </si>
  <si>
    <t>Michael Thomas</t>
  </si>
  <si>
    <t>ORD-10357</t>
  </si>
  <si>
    <t>Linda Clark</t>
  </si>
  <si>
    <t>ORD-10358</t>
  </si>
  <si>
    <t>ORD-10359</t>
  </si>
  <si>
    <t>Linda Harris</t>
  </si>
  <si>
    <t>ORD-10360</t>
  </si>
  <si>
    <t>Daniel Smith</t>
  </si>
  <si>
    <t>ORD-10361</t>
  </si>
  <si>
    <t>Kimberly Thomas</t>
  </si>
  <si>
    <t>ORD-10362</t>
  </si>
  <si>
    <t>ORD-10363</t>
  </si>
  <si>
    <t>ORD-10364</t>
  </si>
  <si>
    <t>Emily Lopez</t>
  </si>
  <si>
    <t>ORD-10365</t>
  </si>
  <si>
    <t>Christopher Gonzalez</t>
  </si>
  <si>
    <t>ORD-10366</t>
  </si>
  <si>
    <t>ORD-10367</t>
  </si>
  <si>
    <t>Mark Thompson</t>
  </si>
  <si>
    <t>ORD-10368</t>
  </si>
  <si>
    <t>Joshua Clark</t>
  </si>
  <si>
    <t>ORD-10369</t>
  </si>
  <si>
    <t>Richard Davis</t>
  </si>
  <si>
    <t>ORD-10370</t>
  </si>
  <si>
    <t>ORD-10371</t>
  </si>
  <si>
    <t>Sandra Lee</t>
  </si>
  <si>
    <t>ORD-10372</t>
  </si>
  <si>
    <t>ORD-10373</t>
  </si>
  <si>
    <t>Daniel Ramirez</t>
  </si>
  <si>
    <t>ORD-10374</t>
  </si>
  <si>
    <t>Anthony Lewis</t>
  </si>
  <si>
    <t>ORD-10375</t>
  </si>
  <si>
    <t>Jessica Perez</t>
  </si>
  <si>
    <t>ORD-10376</t>
  </si>
  <si>
    <t>Michelle Brown</t>
  </si>
  <si>
    <t>ORD-10377</t>
  </si>
  <si>
    <t>ORD-10378</t>
  </si>
  <si>
    <t>Mary Brown</t>
  </si>
  <si>
    <t>ORD-10379</t>
  </si>
  <si>
    <t>Emily Hernandez</t>
  </si>
  <si>
    <t>ORD-10380</t>
  </si>
  <si>
    <t>Mark Clark</t>
  </si>
  <si>
    <t>ORD-10381</t>
  </si>
  <si>
    <t>Donna Moore</t>
  </si>
  <si>
    <t>ORD-10382</t>
  </si>
  <si>
    <t>Christopher Lee</t>
  </si>
  <si>
    <t>ORD-10383</t>
  </si>
  <si>
    <t>Jessica Davis</t>
  </si>
  <si>
    <t>ORD-10384</t>
  </si>
  <si>
    <t>ORD-10385</t>
  </si>
  <si>
    <t>Sarah Williams</t>
  </si>
  <si>
    <t>ORD-10386</t>
  </si>
  <si>
    <t>Kevin Jones</t>
  </si>
  <si>
    <t>ORD-10387</t>
  </si>
  <si>
    <t>ORD-10388</t>
  </si>
  <si>
    <t>Susan Taylor</t>
  </si>
  <si>
    <t>ORD-10389</t>
  </si>
  <si>
    <t>Mark Brown</t>
  </si>
  <si>
    <t>ORD-10390</t>
  </si>
  <si>
    <t>Emily Sanchez</t>
  </si>
  <si>
    <t>ORD-10391</t>
  </si>
  <si>
    <t>Matthew Hernandez</t>
  </si>
  <si>
    <t>ORD-10392</t>
  </si>
  <si>
    <t>Barbara Robinson</t>
  </si>
  <si>
    <t>ORD-10393</t>
  </si>
  <si>
    <t>Carol Smith</t>
  </si>
  <si>
    <t>ORD-10394</t>
  </si>
  <si>
    <t>Emily Moore</t>
  </si>
  <si>
    <t>ORD-10395</t>
  </si>
  <si>
    <t>ORD-10396</t>
  </si>
  <si>
    <t>James Jones</t>
  </si>
  <si>
    <t>ORD-10397</t>
  </si>
  <si>
    <t>ORD-10398</t>
  </si>
  <si>
    <t>ORD-10399</t>
  </si>
  <si>
    <t>Carol Ramirez</t>
  </si>
  <si>
    <t>ORD-10400</t>
  </si>
  <si>
    <t>Donald Perez</t>
  </si>
  <si>
    <t>ORD-10401</t>
  </si>
  <si>
    <t>Steven Jones</t>
  </si>
  <si>
    <t>ORD-10402</t>
  </si>
  <si>
    <t>ORD-10403</t>
  </si>
  <si>
    <t>Kimberly Taylor</t>
  </si>
  <si>
    <t>ORD-10404</t>
  </si>
  <si>
    <t>ORD-10405</t>
  </si>
  <si>
    <t>Anthony Smith</t>
  </si>
  <si>
    <t>ORD-10406</t>
  </si>
  <si>
    <t>Joshua Lewis</t>
  </si>
  <si>
    <t>ORD-10407</t>
  </si>
  <si>
    <t>Paul Anderson</t>
  </si>
  <si>
    <t>ORD-10408</t>
  </si>
  <si>
    <t>ORD-10409</t>
  </si>
  <si>
    <t>ORD-10410</t>
  </si>
  <si>
    <t>Michael Lee</t>
  </si>
  <si>
    <t>ORD-10411</t>
  </si>
  <si>
    <t>ORD-10412</t>
  </si>
  <si>
    <t>Nancy Harris</t>
  </si>
  <si>
    <t>ORD-10413</t>
  </si>
  <si>
    <t>Donald Lopez</t>
  </si>
  <si>
    <t>ORD-10414</t>
  </si>
  <si>
    <t>ORD-10415</t>
  </si>
  <si>
    <t>Thomas Johnson</t>
  </si>
  <si>
    <t>ORD-10416</t>
  </si>
  <si>
    <t>James Anderson</t>
  </si>
  <si>
    <t>ORD-10417</t>
  </si>
  <si>
    <t>Jessica Harris</t>
  </si>
  <si>
    <t>ORD-10418</t>
  </si>
  <si>
    <t>Andrew Thompson</t>
  </si>
  <si>
    <t>ORD-10419</t>
  </si>
  <si>
    <t>Kenneth Thompson</t>
  </si>
  <si>
    <t>ORD-10420</t>
  </si>
  <si>
    <t>Joseph Clark</t>
  </si>
  <si>
    <t>ORD-10421</t>
  </si>
  <si>
    <t>Daniel Garcia</t>
  </si>
  <si>
    <t>ORD-10422</t>
  </si>
  <si>
    <t>Robert Martin</t>
  </si>
  <si>
    <t>ORD-10423</t>
  </si>
  <si>
    <t>Joshua Johnson</t>
  </si>
  <si>
    <t>ORD-10424</t>
  </si>
  <si>
    <t>ORD-10425</t>
  </si>
  <si>
    <t>Anthony Gonzalez</t>
  </si>
  <si>
    <t>ORD-10426</t>
  </si>
  <si>
    <t>Richard Harris</t>
  </si>
  <si>
    <t>ORD-10427</t>
  </si>
  <si>
    <t>Betty Taylor</t>
  </si>
  <si>
    <t>ORD-10428</t>
  </si>
  <si>
    <t>James Ramirez</t>
  </si>
  <si>
    <t>ORD-10429</t>
  </si>
  <si>
    <t>Anthony Anderson</t>
  </si>
  <si>
    <t>ORD-10430</t>
  </si>
  <si>
    <t>ORD-10431</t>
  </si>
  <si>
    <t>Susan Thompson</t>
  </si>
  <si>
    <t>ORD-10432</t>
  </si>
  <si>
    <t>Susan Lopez</t>
  </si>
  <si>
    <t>ORD-10433</t>
  </si>
  <si>
    <t>ORD-10434</t>
  </si>
  <si>
    <t>Ashley Lee</t>
  </si>
  <si>
    <t>ORD-10435</t>
  </si>
  <si>
    <t>ORD-10436</t>
  </si>
  <si>
    <t>Barbara Perez</t>
  </si>
  <si>
    <t>ORD-10437</t>
  </si>
  <si>
    <t>Michelle Martin</t>
  </si>
  <si>
    <t>ORD-10438</t>
  </si>
  <si>
    <t>ORD-10439</t>
  </si>
  <si>
    <t>Elizabeth Gonzalez</t>
  </si>
  <si>
    <t>ORD-10440</t>
  </si>
  <si>
    <t>ORD-10441</t>
  </si>
  <si>
    <t>Matthew Lopez</t>
  </si>
  <si>
    <t>ORD-10442</t>
  </si>
  <si>
    <t>ORD-10443</t>
  </si>
  <si>
    <t>ORD-10444</t>
  </si>
  <si>
    <t>ORD-10445</t>
  </si>
  <si>
    <t>Carol Martinez</t>
  </si>
  <si>
    <t>ORD-10446</t>
  </si>
  <si>
    <t>Kenneth Perez</t>
  </si>
  <si>
    <t>ORD-10447</t>
  </si>
  <si>
    <t>ORD-10448</t>
  </si>
  <si>
    <t>Michael Williams</t>
  </si>
  <si>
    <t>ORD-10449</t>
  </si>
  <si>
    <t>Sarah Garcia</t>
  </si>
  <si>
    <t>ORD-10450</t>
  </si>
  <si>
    <t>Linda Williams</t>
  </si>
  <si>
    <t>ORD-10451</t>
  </si>
  <si>
    <t>Jessica Williams</t>
  </si>
  <si>
    <t>ORD-10452</t>
  </si>
  <si>
    <t>Kenneth Sanchez</t>
  </si>
  <si>
    <t>ORD-10453</t>
  </si>
  <si>
    <t>ORD-10454</t>
  </si>
  <si>
    <t>Carol Garcia</t>
  </si>
  <si>
    <t>ORD-10455</t>
  </si>
  <si>
    <t>Richard White</t>
  </si>
  <si>
    <t>ORD-10456</t>
  </si>
  <si>
    <t>James Taylor</t>
  </si>
  <si>
    <t>ORD-10457</t>
  </si>
  <si>
    <t>William Lewis</t>
  </si>
  <si>
    <t>ORD-10458</t>
  </si>
  <si>
    <t>David Garcia</t>
  </si>
  <si>
    <t>ORD-10459</t>
  </si>
  <si>
    <t>ORD-10460</t>
  </si>
  <si>
    <t>Paul Garcia</t>
  </si>
  <si>
    <t>ORD-10461</t>
  </si>
  <si>
    <t>Sandra Williams</t>
  </si>
  <si>
    <t>ORD-10462</t>
  </si>
  <si>
    <t>Donna White</t>
  </si>
  <si>
    <t>ORD-10463</t>
  </si>
  <si>
    <t>David Martinez</t>
  </si>
  <si>
    <t>ORD-10464</t>
  </si>
  <si>
    <t>Joshua Lee</t>
  </si>
  <si>
    <t>ORD-10465</t>
  </si>
  <si>
    <t>ORD-10466</t>
  </si>
  <si>
    <t>Barbara Miller</t>
  </si>
  <si>
    <t>ORD-10467</t>
  </si>
  <si>
    <t>ORD-10468</t>
  </si>
  <si>
    <t>ORD-10469</t>
  </si>
  <si>
    <t>Thomas Gonzalez</t>
  </si>
  <si>
    <t>ORD-10470</t>
  </si>
  <si>
    <t>Matthew Robinson</t>
  </si>
  <si>
    <t>ORD-10471</t>
  </si>
  <si>
    <t>Carol Robinson</t>
  </si>
  <si>
    <t>ORD-10472</t>
  </si>
  <si>
    <t>Daniel Clark</t>
  </si>
  <si>
    <t>ORD-10473</t>
  </si>
  <si>
    <t>Betty Davis</t>
  </si>
  <si>
    <t>ORD-10474</t>
  </si>
  <si>
    <t>Richard Ramirez</t>
  </si>
  <si>
    <t>ORD-10475</t>
  </si>
  <si>
    <t>Jennifer Johnson</t>
  </si>
  <si>
    <t>ORD-10476</t>
  </si>
  <si>
    <t>Thomas Jones</t>
  </si>
  <si>
    <t>ORD-10477</t>
  </si>
  <si>
    <t>Matthew Sanchez</t>
  </si>
  <si>
    <t>ORD-10478</t>
  </si>
  <si>
    <t>Michael Miller</t>
  </si>
  <si>
    <t>ORD-10479</t>
  </si>
  <si>
    <t>Robert Anderson</t>
  </si>
  <si>
    <t>ORD-10480</t>
  </si>
  <si>
    <t>ORD-10481</t>
  </si>
  <si>
    <t>Christopher Ramirez</t>
  </si>
  <si>
    <t>ORD-10482</t>
  </si>
  <si>
    <t>Kimberly Johnson</t>
  </si>
  <si>
    <t>ORD-10483</t>
  </si>
  <si>
    <t>Sarah Thompson</t>
  </si>
  <si>
    <t>ORD-10484</t>
  </si>
  <si>
    <t>ORD-10485</t>
  </si>
  <si>
    <t>Donald Martinez</t>
  </si>
  <si>
    <t>ORD-10486</t>
  </si>
  <si>
    <t>Nancy Williams</t>
  </si>
  <si>
    <t>ORD-10487</t>
  </si>
  <si>
    <t>ORD-10488</t>
  </si>
  <si>
    <t>ORD-10489</t>
  </si>
  <si>
    <t>Kimberly Lewis</t>
  </si>
  <si>
    <t>ORD-10490</t>
  </si>
  <si>
    <t>Joseph Taylor</t>
  </si>
  <si>
    <t>ORD-10491</t>
  </si>
  <si>
    <t>ORD-10492</t>
  </si>
  <si>
    <t>ORD-10493</t>
  </si>
  <si>
    <t>ORD-10494</t>
  </si>
  <si>
    <t>Jessica Johnson</t>
  </si>
  <si>
    <t>ORD-10495</t>
  </si>
  <si>
    <t>ORD-10496</t>
  </si>
  <si>
    <t>David Moore</t>
  </si>
  <si>
    <t>ORD-10497</t>
  </si>
  <si>
    <t>James Miller</t>
  </si>
  <si>
    <t>ORD-10498</t>
  </si>
  <si>
    <t>ORD-10499</t>
  </si>
  <si>
    <t>Barbara Hernandez</t>
  </si>
  <si>
    <t>ORD-10500</t>
  </si>
  <si>
    <t>ORD-10501</t>
  </si>
  <si>
    <t>ORD-10502</t>
  </si>
  <si>
    <t>ORD-10503</t>
  </si>
  <si>
    <t>ORD-10504</t>
  </si>
  <si>
    <t>Daniel Brown</t>
  </si>
  <si>
    <t>ORD-10505</t>
  </si>
  <si>
    <t>Jennifer Martin</t>
  </si>
  <si>
    <t>ORD-10506</t>
  </si>
  <si>
    <t>Kevin Brown</t>
  </si>
  <si>
    <t>ORD-10507</t>
  </si>
  <si>
    <t>ORD-10508</t>
  </si>
  <si>
    <t>ORD-10509</t>
  </si>
  <si>
    <t>Betty Lopez</t>
  </si>
  <si>
    <t>ORD-10510</t>
  </si>
  <si>
    <t>Barbara Sanchez</t>
  </si>
  <si>
    <t>ORD-10511</t>
  </si>
  <si>
    <t>ORD-10512</t>
  </si>
  <si>
    <t>ORD-10513</t>
  </si>
  <si>
    <t>ORD-10514</t>
  </si>
  <si>
    <t>Joshua Thompson</t>
  </si>
  <si>
    <t>ORD-10515</t>
  </si>
  <si>
    <t>Joshua Jackson</t>
  </si>
  <si>
    <t>ORD-10516</t>
  </si>
  <si>
    <t>ORD-10517</t>
  </si>
  <si>
    <t>ORD-10518</t>
  </si>
  <si>
    <t>ORD-10519</t>
  </si>
  <si>
    <t>Joseph Harris</t>
  </si>
  <si>
    <t>ORD-10520</t>
  </si>
  <si>
    <t>William Hernandez</t>
  </si>
  <si>
    <t>ORD-10521</t>
  </si>
  <si>
    <t>ORD-10522</t>
  </si>
  <si>
    <t>Sarah Miller</t>
  </si>
  <si>
    <t>ORD-10523</t>
  </si>
  <si>
    <t>Paul Rodriguez</t>
  </si>
  <si>
    <t>ORD-10524</t>
  </si>
  <si>
    <t>David Perez</t>
  </si>
  <si>
    <t>ORD-10525</t>
  </si>
  <si>
    <t>ORD-10526</t>
  </si>
  <si>
    <t>ORD-10527</t>
  </si>
  <si>
    <t>ORD-10528</t>
  </si>
  <si>
    <t>ORD-10529</t>
  </si>
  <si>
    <t>Jennifer Thompson</t>
  </si>
  <si>
    <t>ORD-10530</t>
  </si>
  <si>
    <t>ORD-10531</t>
  </si>
  <si>
    <t>Mary Jackson</t>
  </si>
  <si>
    <t>ORD-10532</t>
  </si>
  <si>
    <t>Andrew White</t>
  </si>
  <si>
    <t>ORD-10533</t>
  </si>
  <si>
    <t>Daniel Martin</t>
  </si>
  <si>
    <t>ORD-10534</t>
  </si>
  <si>
    <t>Lisa Gonzalez</t>
  </si>
  <si>
    <t>ORD-10535</t>
  </si>
  <si>
    <t>Lisa Perez</t>
  </si>
  <si>
    <t>ORD-10536</t>
  </si>
  <si>
    <t>David Harris</t>
  </si>
  <si>
    <t>ORD-10537</t>
  </si>
  <si>
    <t>Ashley Williams</t>
  </si>
  <si>
    <t>ORD-10538</t>
  </si>
  <si>
    <t>ORD-10539</t>
  </si>
  <si>
    <t>Mark Robinson</t>
  </si>
  <si>
    <t>ORD-10540</t>
  </si>
  <si>
    <t>David Smith</t>
  </si>
  <si>
    <t>ORD-10541</t>
  </si>
  <si>
    <t>Robert Sanchez</t>
  </si>
  <si>
    <t>ORD-10542</t>
  </si>
  <si>
    <t>Jessica Moore</t>
  </si>
  <si>
    <t>ORD-10543</t>
  </si>
  <si>
    <t>ORD-10544</t>
  </si>
  <si>
    <t>Donald Garcia</t>
  </si>
  <si>
    <t>ORD-10545</t>
  </si>
  <si>
    <t>ORD-10546</t>
  </si>
  <si>
    <t>ORD-10547</t>
  </si>
  <si>
    <t>ORD-10548</t>
  </si>
  <si>
    <t>Joshua Martinez</t>
  </si>
  <si>
    <t>ORD-10549</t>
  </si>
  <si>
    <t>ORD-10550</t>
  </si>
  <si>
    <t>Mark Garcia</t>
  </si>
  <si>
    <t>ORD-10551</t>
  </si>
  <si>
    <t>Joshua Hernandez</t>
  </si>
  <si>
    <t>ORD-10552</t>
  </si>
  <si>
    <t>Barbara Anderson</t>
  </si>
  <si>
    <t>ORD-10553</t>
  </si>
  <si>
    <t>Jessica White</t>
  </si>
  <si>
    <t>ORD-10554</t>
  </si>
  <si>
    <t>ORD-10555</t>
  </si>
  <si>
    <t>ORD-10556</t>
  </si>
  <si>
    <t>Mary Lewis</t>
  </si>
  <si>
    <t>ORD-10557</t>
  </si>
  <si>
    <t>ORD-10558</t>
  </si>
  <si>
    <t>ORD-10559</t>
  </si>
  <si>
    <t>Kenneth Gonzalez</t>
  </si>
  <si>
    <t>ORD-10560</t>
  </si>
  <si>
    <t>William Smith</t>
  </si>
  <si>
    <t>ORD-10561</t>
  </si>
  <si>
    <t>Steven Clark</t>
  </si>
  <si>
    <t>ORD-10562</t>
  </si>
  <si>
    <t>Richard Wilson</t>
  </si>
  <si>
    <t>ORD-10563</t>
  </si>
  <si>
    <t>Thomas Davis</t>
  </si>
  <si>
    <t>ORD-10564</t>
  </si>
  <si>
    <t>Paul Wilson</t>
  </si>
  <si>
    <t>ORD-10565</t>
  </si>
  <si>
    <t>ORD-10566</t>
  </si>
  <si>
    <t>Joseph Lopez</t>
  </si>
  <si>
    <t>ORD-10567</t>
  </si>
  <si>
    <t>Lisa Brown</t>
  </si>
  <si>
    <t>ORD-10568</t>
  </si>
  <si>
    <t>Donna Clark</t>
  </si>
  <si>
    <t>ORD-10569</t>
  </si>
  <si>
    <t>ORD-10570</t>
  </si>
  <si>
    <t>Lisa Davis</t>
  </si>
  <si>
    <t>ORD-10571</t>
  </si>
  <si>
    <t>Kimberly Jackson</t>
  </si>
  <si>
    <t>ORD-10572</t>
  </si>
  <si>
    <t>Christopher Thompson</t>
  </si>
  <si>
    <t>ORD-10573</t>
  </si>
  <si>
    <t>William Anderson</t>
  </si>
  <si>
    <t>ORD-10574</t>
  </si>
  <si>
    <t>Michelle Rodriguez</t>
  </si>
  <si>
    <t>ORD-10575</t>
  </si>
  <si>
    <t>ORD-10576</t>
  </si>
  <si>
    <t>Andrew Robinson</t>
  </si>
  <si>
    <t>ORD-10577</t>
  </si>
  <si>
    <t>ORD-10578</t>
  </si>
  <si>
    <t>ORD-10579</t>
  </si>
  <si>
    <t>Lisa Ramirez</t>
  </si>
  <si>
    <t>ORD-10580</t>
  </si>
  <si>
    <t>ORD-10581</t>
  </si>
  <si>
    <t>ORD-10582</t>
  </si>
  <si>
    <t>Matthew Gonzalez</t>
  </si>
  <si>
    <t>ORD-10583</t>
  </si>
  <si>
    <t>David White</t>
  </si>
  <si>
    <t>ORD-10584</t>
  </si>
  <si>
    <t>Michelle Harris</t>
  </si>
  <si>
    <t>ORD-10585</t>
  </si>
  <si>
    <t>ORD-10586</t>
  </si>
  <si>
    <t>Kimberly Williams</t>
  </si>
  <si>
    <t>ORD-10587</t>
  </si>
  <si>
    <t>Andrew Clark</t>
  </si>
  <si>
    <t>ORD-10588</t>
  </si>
  <si>
    <t>ORD-10589</t>
  </si>
  <si>
    <t>Barbara Johnson</t>
  </si>
  <si>
    <t>ORD-10590</t>
  </si>
  <si>
    <t>Susan Smith</t>
  </si>
  <si>
    <t>ORD-10591</t>
  </si>
  <si>
    <t>Sandra Jackson</t>
  </si>
  <si>
    <t>ORD-10592</t>
  </si>
  <si>
    <t>Robert Jones</t>
  </si>
  <si>
    <t>ORD-10593</t>
  </si>
  <si>
    <t>Steven Wilson</t>
  </si>
  <si>
    <t>ORD-10594</t>
  </si>
  <si>
    <t>Emily Garcia</t>
  </si>
  <si>
    <t>ORD-10595</t>
  </si>
  <si>
    <t>Michael Hernandez</t>
  </si>
  <si>
    <t>ORD-10596</t>
  </si>
  <si>
    <t>ORD-10597</t>
  </si>
  <si>
    <t>Carol White</t>
  </si>
  <si>
    <t>ORD-10598</t>
  </si>
  <si>
    <t>ORD-10599</t>
  </si>
  <si>
    <t>Christopher Clark</t>
  </si>
  <si>
    <t>ORD-10600</t>
  </si>
  <si>
    <t>Michelle Perez</t>
  </si>
  <si>
    <t>ORD-10601</t>
  </si>
  <si>
    <t>ORD-10602</t>
  </si>
  <si>
    <t>Richard Lewis</t>
  </si>
  <si>
    <t>ORD-10603</t>
  </si>
  <si>
    <t>ORD-10604</t>
  </si>
  <si>
    <t>Daniel Miller</t>
  </si>
  <si>
    <t>ORD-10605</t>
  </si>
  <si>
    <t>Daniel Thompson</t>
  </si>
  <si>
    <t>ORD-10606</t>
  </si>
  <si>
    <t>ORD-10607</t>
  </si>
  <si>
    <t>ORD-10608</t>
  </si>
  <si>
    <t>ORD-10609</t>
  </si>
  <si>
    <t>ORD-10610</t>
  </si>
  <si>
    <t>ORD-10611</t>
  </si>
  <si>
    <t>James Garcia</t>
  </si>
  <si>
    <t>ORD-10612</t>
  </si>
  <si>
    <t>ORD-10613</t>
  </si>
  <si>
    <t>ORD-10614</t>
  </si>
  <si>
    <t>Jennifer Jones</t>
  </si>
  <si>
    <t>ORD-10615</t>
  </si>
  <si>
    <t>ORD-10616</t>
  </si>
  <si>
    <t>ORD-10617</t>
  </si>
  <si>
    <t>Kevin Clark</t>
  </si>
  <si>
    <t>ORD-10618</t>
  </si>
  <si>
    <t>Betty Jones</t>
  </si>
  <si>
    <t>ORD-10619</t>
  </si>
  <si>
    <t>Sarah Davis</t>
  </si>
  <si>
    <t>ORD-10620</t>
  </si>
  <si>
    <t>Michelle Garcia</t>
  </si>
  <si>
    <t>ORD-10621</t>
  </si>
  <si>
    <t>ORD-10622</t>
  </si>
  <si>
    <t>ORD-10623</t>
  </si>
  <si>
    <t>ORD-10624</t>
  </si>
  <si>
    <t>ORD-10625</t>
  </si>
  <si>
    <t>Anthony Johnson</t>
  </si>
  <si>
    <t>ORD-10626</t>
  </si>
  <si>
    <t>Donna Hernandez</t>
  </si>
  <si>
    <t>ORD-10627</t>
  </si>
  <si>
    <t>Barbara Harris</t>
  </si>
  <si>
    <t>ORD-10628</t>
  </si>
  <si>
    <t>Kimberly Lopez</t>
  </si>
  <si>
    <t>ORD-10629</t>
  </si>
  <si>
    <t>Sarah Perez</t>
  </si>
  <si>
    <t>ORD-10630</t>
  </si>
  <si>
    <t>Joseph Anderson</t>
  </si>
  <si>
    <t>ORD-10631</t>
  </si>
  <si>
    <t>David Thomas</t>
  </si>
  <si>
    <t>ORD-10632</t>
  </si>
  <si>
    <t>James Johnson</t>
  </si>
  <si>
    <t>ORD-10633</t>
  </si>
  <si>
    <t>ORD-10634</t>
  </si>
  <si>
    <t>ORD-10635</t>
  </si>
  <si>
    <t>ORD-10636</t>
  </si>
  <si>
    <t>Paul Jackson</t>
  </si>
  <si>
    <t>ORD-10637</t>
  </si>
  <si>
    <t>ORD-10638</t>
  </si>
  <si>
    <t>ORD-10639</t>
  </si>
  <si>
    <t>ORD-10640</t>
  </si>
  <si>
    <t>Dorothy Lewis</t>
  </si>
  <si>
    <t>ORD-10641</t>
  </si>
  <si>
    <t>Joshua Perez</t>
  </si>
  <si>
    <t>ORD-10642</t>
  </si>
  <si>
    <t>Elizabeth Martin</t>
  </si>
  <si>
    <t>ORD-10643</t>
  </si>
  <si>
    <t>ORD-10644</t>
  </si>
  <si>
    <t>Robert Thompson</t>
  </si>
  <si>
    <t>ORD-10645</t>
  </si>
  <si>
    <t>ORD-10646</t>
  </si>
  <si>
    <t>Anthony Taylor</t>
  </si>
  <si>
    <t>ORD-10647</t>
  </si>
  <si>
    <t>Andrew Wilson</t>
  </si>
  <si>
    <t>ORD-10648</t>
  </si>
  <si>
    <t>Jennifer Harris</t>
  </si>
  <si>
    <t>ORD-10649</t>
  </si>
  <si>
    <t>ORD-10650</t>
  </si>
  <si>
    <t>ORD-10651</t>
  </si>
  <si>
    <t>Dorothy Thompson</t>
  </si>
  <si>
    <t>ORD-10652</t>
  </si>
  <si>
    <t>ORD-10653</t>
  </si>
  <si>
    <t>Dorothy Jackson</t>
  </si>
  <si>
    <t>ORD-10654</t>
  </si>
  <si>
    <t>ORD-10655</t>
  </si>
  <si>
    <t>ORD-10656</t>
  </si>
  <si>
    <t>Matthew Harris</t>
  </si>
  <si>
    <t>ORD-10657</t>
  </si>
  <si>
    <t>Paul Lee</t>
  </si>
  <si>
    <t>ORD-10658</t>
  </si>
  <si>
    <t>ORD-10659</t>
  </si>
  <si>
    <t>ORD-10660</t>
  </si>
  <si>
    <t>Susan Jones</t>
  </si>
  <si>
    <t>ORD-10661</t>
  </si>
  <si>
    <t>Dorothy Martinez</t>
  </si>
  <si>
    <t>ORD-10662</t>
  </si>
  <si>
    <t>William Thompson</t>
  </si>
  <si>
    <t>ORD-10663</t>
  </si>
  <si>
    <t>ORD-10664</t>
  </si>
  <si>
    <t>Linda Robinson</t>
  </si>
  <si>
    <t>ORD-10665</t>
  </si>
  <si>
    <t>ORD-10666</t>
  </si>
  <si>
    <t>Christopher Martin</t>
  </si>
  <si>
    <t>ORD-10667</t>
  </si>
  <si>
    <t>Sandra Anderson</t>
  </si>
  <si>
    <t>ORD-10668</t>
  </si>
  <si>
    <t>ORD-10669</t>
  </si>
  <si>
    <t>Lisa Lopez</t>
  </si>
  <si>
    <t>ORD-10670</t>
  </si>
  <si>
    <t>Richard Martin</t>
  </si>
  <si>
    <t>ORD-10671</t>
  </si>
  <si>
    <t>ORD-10672</t>
  </si>
  <si>
    <t>ORD-10673</t>
  </si>
  <si>
    <t>ORD-10674</t>
  </si>
  <si>
    <t>Donna Miller</t>
  </si>
  <si>
    <t>ORD-10675</t>
  </si>
  <si>
    <t>Dorothy Garcia</t>
  </si>
  <si>
    <t>ORD-10676</t>
  </si>
  <si>
    <t>Donna Garcia</t>
  </si>
  <si>
    <t>ORD-10677</t>
  </si>
  <si>
    <t>David Brown</t>
  </si>
  <si>
    <t>ORD-10678</t>
  </si>
  <si>
    <t>ORD-10679</t>
  </si>
  <si>
    <t>ORD-10680</t>
  </si>
  <si>
    <t>Dorothy Martin</t>
  </si>
  <si>
    <t>ORD-10681</t>
  </si>
  <si>
    <t>Mary Davis</t>
  </si>
  <si>
    <t>ORD-10682</t>
  </si>
  <si>
    <t>Lisa Miller</t>
  </si>
  <si>
    <t>ORD-10683</t>
  </si>
  <si>
    <t>Mark Lewis</t>
  </si>
  <si>
    <t>ORD-10684</t>
  </si>
  <si>
    <t>Lisa Anderson</t>
  </si>
  <si>
    <t>ORD-10685</t>
  </si>
  <si>
    <t>Kimberly Clark</t>
  </si>
  <si>
    <t>ORD-10686</t>
  </si>
  <si>
    <t>ORD-10687</t>
  </si>
  <si>
    <t>ORD-10688</t>
  </si>
  <si>
    <t>Joseph Lewis</t>
  </si>
  <si>
    <t>ORD-10689</t>
  </si>
  <si>
    <t>Paul Hernandez</t>
  </si>
  <si>
    <t>ORD-10690</t>
  </si>
  <si>
    <t>ORD-10691</t>
  </si>
  <si>
    <t>Richard Jones</t>
  </si>
  <si>
    <t>ORD-10692</t>
  </si>
  <si>
    <t>Anthony Moore</t>
  </si>
  <si>
    <t>ORD-10693</t>
  </si>
  <si>
    <t>ORD-10694</t>
  </si>
  <si>
    <t>Joseph White</t>
  </si>
  <si>
    <t>ORD-10695</t>
  </si>
  <si>
    <t>Joshua White</t>
  </si>
  <si>
    <t>ORD-10696</t>
  </si>
  <si>
    <t>ORD-10697</t>
  </si>
  <si>
    <t>Andrew Lewis</t>
  </si>
  <si>
    <t>ORD-10698</t>
  </si>
  <si>
    <t>ORD-10699</t>
  </si>
  <si>
    <t>ORD-10700</t>
  </si>
  <si>
    <t>James Sanchez</t>
  </si>
  <si>
    <t>ORD-10701</t>
  </si>
  <si>
    <t>Steven Thompson</t>
  </si>
  <si>
    <t>ORD-10702</t>
  </si>
  <si>
    <t>ORD-10703</t>
  </si>
  <si>
    <t>Andrew Smith</t>
  </si>
  <si>
    <t>ORD-10704</t>
  </si>
  <si>
    <t>ORD-10705</t>
  </si>
  <si>
    <t>ORD-10706</t>
  </si>
  <si>
    <t>Nancy White</t>
  </si>
  <si>
    <t>ORD-10707</t>
  </si>
  <si>
    <t>Kevin Rodriguez</t>
  </si>
  <si>
    <t>ORD-10708</t>
  </si>
  <si>
    <t>Paul Taylor</t>
  </si>
  <si>
    <t>ORD-10709</t>
  </si>
  <si>
    <t>Michael Harris</t>
  </si>
  <si>
    <t>ORD-10710</t>
  </si>
  <si>
    <t>ORD-10711</t>
  </si>
  <si>
    <t>Sandra Hernandez</t>
  </si>
  <si>
    <t>ORD-10712</t>
  </si>
  <si>
    <t>Karen Taylor</t>
  </si>
  <si>
    <t>ORD-10713</t>
  </si>
  <si>
    <t>Donald Johnson</t>
  </si>
  <si>
    <t>ORD-10714</t>
  </si>
  <si>
    <t>ORD-10715</t>
  </si>
  <si>
    <t>Lisa Smith</t>
  </si>
  <si>
    <t>ORD-10716</t>
  </si>
  <si>
    <t>Kimberly Harris</t>
  </si>
  <si>
    <t>ORD-10717</t>
  </si>
  <si>
    <t>ORD-10718</t>
  </si>
  <si>
    <t>ORD-10719</t>
  </si>
  <si>
    <t>ORD-10720</t>
  </si>
  <si>
    <t>ORD-10721</t>
  </si>
  <si>
    <t>Mary Perez</t>
  </si>
  <si>
    <t>ORD-10722</t>
  </si>
  <si>
    <t>ORD-10723</t>
  </si>
  <si>
    <t>ORD-10724</t>
  </si>
  <si>
    <t>Linda Gonzalez</t>
  </si>
  <si>
    <t>ORD-10725</t>
  </si>
  <si>
    <t>Richard Rodriguez</t>
  </si>
  <si>
    <t>ORD-10726</t>
  </si>
  <si>
    <t>Michael Smith</t>
  </si>
  <si>
    <t>ORD-10727</t>
  </si>
  <si>
    <t>ORD-10728</t>
  </si>
  <si>
    <t>ORD-10729</t>
  </si>
  <si>
    <t>ORD-10730</t>
  </si>
  <si>
    <t>Kimberly Garcia</t>
  </si>
  <si>
    <t>ORD-10731</t>
  </si>
  <si>
    <t>Lisa Jones</t>
  </si>
  <si>
    <t>ORD-10732</t>
  </si>
  <si>
    <t>ORD-10733</t>
  </si>
  <si>
    <t>Dorothy Wilson</t>
  </si>
  <si>
    <t>ORD-10734</t>
  </si>
  <si>
    <t>ORD-10735</t>
  </si>
  <si>
    <t>Joshua Taylor</t>
  </si>
  <si>
    <t>ORD-10736</t>
  </si>
  <si>
    <t>ORD-10737</t>
  </si>
  <si>
    <t>ORD-10738</t>
  </si>
  <si>
    <t>Andrew Jackson</t>
  </si>
  <si>
    <t>ORD-10739</t>
  </si>
  <si>
    <t>Karen Gonzalez</t>
  </si>
  <si>
    <t>ORD-10740</t>
  </si>
  <si>
    <t>Donald Jones</t>
  </si>
  <si>
    <t>ORD-10741</t>
  </si>
  <si>
    <t>Betty Gonzalez</t>
  </si>
  <si>
    <t>ORD-10742</t>
  </si>
  <si>
    <t>Anthony Hernandez</t>
  </si>
  <si>
    <t>ORD-10743</t>
  </si>
  <si>
    <t>ORD-10744</t>
  </si>
  <si>
    <t>ORD-10745</t>
  </si>
  <si>
    <t>ORD-10746</t>
  </si>
  <si>
    <t>ORD-10747</t>
  </si>
  <si>
    <t>Michelle Clark</t>
  </si>
  <si>
    <t>ORD-10748</t>
  </si>
  <si>
    <t>Mary Lopez</t>
  </si>
  <si>
    <t>ORD-10749</t>
  </si>
  <si>
    <t>ORD-10750</t>
  </si>
  <si>
    <t>Thomas Anderson</t>
  </si>
  <si>
    <t>ORD-10751</t>
  </si>
  <si>
    <t>Dorothy Jones</t>
  </si>
  <si>
    <t>ORD-10752</t>
  </si>
  <si>
    <t>Elizabeth Smith</t>
  </si>
  <si>
    <t>ORD-10753</t>
  </si>
  <si>
    <t>ORD-10754</t>
  </si>
  <si>
    <t>ORD-10755</t>
  </si>
  <si>
    <t>ORD-10756</t>
  </si>
  <si>
    <t>ORD-10757</t>
  </si>
  <si>
    <t>ORD-10758</t>
  </si>
  <si>
    <t>Donna Martin</t>
  </si>
  <si>
    <t>ORD-10759</t>
  </si>
  <si>
    <t>Kevin Johnson</t>
  </si>
  <si>
    <t>ORD-10760</t>
  </si>
  <si>
    <t>ORD-10761</t>
  </si>
  <si>
    <t>Barbara Thompson</t>
  </si>
  <si>
    <t>ORD-10762</t>
  </si>
  <si>
    <t>ORD-10763</t>
  </si>
  <si>
    <t>ORD-10764</t>
  </si>
  <si>
    <t>Lisa Thompson</t>
  </si>
  <si>
    <t>ORD-10765</t>
  </si>
  <si>
    <t>Jennifer Perez</t>
  </si>
  <si>
    <t>ORD-10766</t>
  </si>
  <si>
    <t>Susan Robinson</t>
  </si>
  <si>
    <t>ORD-10767</t>
  </si>
  <si>
    <t>ORD-10768</t>
  </si>
  <si>
    <t>Barbara Clark</t>
  </si>
  <si>
    <t>ORD-10769</t>
  </si>
  <si>
    <t>Michelle White</t>
  </si>
  <si>
    <t>ORD-10770</t>
  </si>
  <si>
    <t>Jennifer Ramirez</t>
  </si>
  <si>
    <t>ORD-10771</t>
  </si>
  <si>
    <t>Steven Hernandez</t>
  </si>
  <si>
    <t>ORD-10772</t>
  </si>
  <si>
    <t>ORD-10773</t>
  </si>
  <si>
    <t>Emily Miller</t>
  </si>
  <si>
    <t>ORD-10774</t>
  </si>
  <si>
    <t>ORD-10775</t>
  </si>
  <si>
    <t>Steven Sanchez</t>
  </si>
  <si>
    <t>ORD-10776</t>
  </si>
  <si>
    <t>ORD-10777</t>
  </si>
  <si>
    <t>James Moore</t>
  </si>
  <si>
    <t>ORD-10778</t>
  </si>
  <si>
    <t>ORD-10779</t>
  </si>
  <si>
    <t>Linda Ramirez</t>
  </si>
  <si>
    <t>ORD-10780</t>
  </si>
  <si>
    <t>Jennifer Williams</t>
  </si>
  <si>
    <t>ORD-10781</t>
  </si>
  <si>
    <t>ORD-10782</t>
  </si>
  <si>
    <t>ORD-10783</t>
  </si>
  <si>
    <t>Donna Martinez</t>
  </si>
  <si>
    <t>ORD-10784</t>
  </si>
  <si>
    <t>ORD-10785</t>
  </si>
  <si>
    <t>ORD-10786</t>
  </si>
  <si>
    <t>Sandra White</t>
  </si>
  <si>
    <t>ORD-10787</t>
  </si>
  <si>
    <t>Sarah Lee</t>
  </si>
  <si>
    <t>ORD-10788</t>
  </si>
  <si>
    <t>Joseph Smith</t>
  </si>
  <si>
    <t>ORD-10789</t>
  </si>
  <si>
    <t>Christopher Jones</t>
  </si>
  <si>
    <t>ORD-10790</t>
  </si>
  <si>
    <t>Michelle Gonzalez</t>
  </si>
  <si>
    <t>ORD-10791</t>
  </si>
  <si>
    <t>ORD-10792</t>
  </si>
  <si>
    <t>Elizabeth Rodriguez</t>
  </si>
  <si>
    <t>ORD-10793</t>
  </si>
  <si>
    <t>Jessica Rodriguez</t>
  </si>
  <si>
    <t>ORD-10794</t>
  </si>
  <si>
    <t>Steven Miller</t>
  </si>
  <si>
    <t>ORD-10795</t>
  </si>
  <si>
    <t>Elizabeth Harris</t>
  </si>
  <si>
    <t>ORD-10796</t>
  </si>
  <si>
    <t>ORD-10797</t>
  </si>
  <si>
    <t>Nancy Taylor</t>
  </si>
  <si>
    <t>ORD-10798</t>
  </si>
  <si>
    <t>Paul Miller</t>
  </si>
  <si>
    <t>ORD-10799</t>
  </si>
  <si>
    <t>ORD-10800</t>
  </si>
  <si>
    <t>Linda Rodriguez</t>
  </si>
  <si>
    <t>ORD-10801</t>
  </si>
  <si>
    <t>Lisa Robinson</t>
  </si>
  <si>
    <t>ORD-10802</t>
  </si>
  <si>
    <t>Richard Clark</t>
  </si>
  <si>
    <t>ORD-10803</t>
  </si>
  <si>
    <t>Christopher Wilson</t>
  </si>
  <si>
    <t>ORD-10804</t>
  </si>
  <si>
    <t>ORD-10805</t>
  </si>
  <si>
    <t>Mark Harris</t>
  </si>
  <si>
    <t>ORD-10806</t>
  </si>
  <si>
    <t>Thomas Taylor</t>
  </si>
  <si>
    <t>ORD-10807</t>
  </si>
  <si>
    <t>ORD-10808</t>
  </si>
  <si>
    <t>ORD-10809</t>
  </si>
  <si>
    <t>ORD-10810</t>
  </si>
  <si>
    <t>ORD-10811</t>
  </si>
  <si>
    <t>ORD-10812</t>
  </si>
  <si>
    <t>Thomas Robinson</t>
  </si>
  <si>
    <t>ORD-10813</t>
  </si>
  <si>
    <t>ORD-10814</t>
  </si>
  <si>
    <t>Kenneth Wilson</t>
  </si>
  <si>
    <t>ORD-10815</t>
  </si>
  <si>
    <t>Kenneth Moore</t>
  </si>
  <si>
    <t>ORD-10816</t>
  </si>
  <si>
    <t>ORD-10817</t>
  </si>
  <si>
    <t>Barbara Jones</t>
  </si>
  <si>
    <t>ORD-10818</t>
  </si>
  <si>
    <t>ORD-10819</t>
  </si>
  <si>
    <t>ORD-10820</t>
  </si>
  <si>
    <t>Richard Lopez</t>
  </si>
  <si>
    <t>ORD-10821</t>
  </si>
  <si>
    <t>Mark Williams</t>
  </si>
  <si>
    <t>ORD-10822</t>
  </si>
  <si>
    <t>ORD-10823</t>
  </si>
  <si>
    <t>ORD-10824</t>
  </si>
  <si>
    <t>ORD-10825</t>
  </si>
  <si>
    <t>Sandra Miller</t>
  </si>
  <si>
    <t>ORD-10826</t>
  </si>
  <si>
    <t>William Miller</t>
  </si>
  <si>
    <t>ORD-10827</t>
  </si>
  <si>
    <t>ORD-10828</t>
  </si>
  <si>
    <t>ORD-10829</t>
  </si>
  <si>
    <t>Carol Thomas</t>
  </si>
  <si>
    <t>ORD-10830</t>
  </si>
  <si>
    <t>ORD-10831</t>
  </si>
  <si>
    <t>ORD-10832</t>
  </si>
  <si>
    <t>ORD-10833</t>
  </si>
  <si>
    <t>ORD-10834</t>
  </si>
  <si>
    <t>Linda Taylor</t>
  </si>
  <si>
    <t>ORD-10835</t>
  </si>
  <si>
    <t>ORD-10836</t>
  </si>
  <si>
    <t>ORD-10837</t>
  </si>
  <si>
    <t>ORD-10838</t>
  </si>
  <si>
    <t>ORD-10839</t>
  </si>
  <si>
    <t>Michael Robinson</t>
  </si>
  <si>
    <t>ORD-10840</t>
  </si>
  <si>
    <t>ORD-10841</t>
  </si>
  <si>
    <t>Donald Harris</t>
  </si>
  <si>
    <t>ORD-10842</t>
  </si>
  <si>
    <t>Matthew Wilson</t>
  </si>
  <si>
    <t>ORD-10843</t>
  </si>
  <si>
    <t>Carol Wilson</t>
  </si>
  <si>
    <t>ORD-10844</t>
  </si>
  <si>
    <t>ORD-10845</t>
  </si>
  <si>
    <t>Kenneth Williams</t>
  </si>
  <si>
    <t>ORD-10846</t>
  </si>
  <si>
    <t>ORD-10847</t>
  </si>
  <si>
    <t>ORD-10848</t>
  </si>
  <si>
    <t>Michelle Williams</t>
  </si>
  <si>
    <t>ORD-10849</t>
  </si>
  <si>
    <t>ORD-10850</t>
  </si>
  <si>
    <t>ORD-10851</t>
  </si>
  <si>
    <t>Kimberly Smith</t>
  </si>
  <si>
    <t>ORD-10852</t>
  </si>
  <si>
    <t>Linda Wilson</t>
  </si>
  <si>
    <t>ORD-10853</t>
  </si>
  <si>
    <t>Betty Rodriguez</t>
  </si>
  <si>
    <t>ORD-10854</t>
  </si>
  <si>
    <t>William Wilson</t>
  </si>
  <si>
    <t>ORD-10855</t>
  </si>
  <si>
    <t>Elizabeth Taylor</t>
  </si>
  <si>
    <t>ORD-10856</t>
  </si>
  <si>
    <t>Betty Sanchez</t>
  </si>
  <si>
    <t>ORD-10857</t>
  </si>
  <si>
    <t>Kenneth White</t>
  </si>
  <si>
    <t>ORD-10858</t>
  </si>
  <si>
    <t>Elizabeth Davis</t>
  </si>
  <si>
    <t>ORD-10859</t>
  </si>
  <si>
    <t>Kenneth Anderson</t>
  </si>
  <si>
    <t>ORD-10860</t>
  </si>
  <si>
    <t>ORD-10861</t>
  </si>
  <si>
    <t>ORD-10862</t>
  </si>
  <si>
    <t>Michael Martinez</t>
  </si>
  <si>
    <t>ORD-10863</t>
  </si>
  <si>
    <t>ORD-10864</t>
  </si>
  <si>
    <t>ORD-10865</t>
  </si>
  <si>
    <t>ORD-10866</t>
  </si>
  <si>
    <t>Karen Martinez</t>
  </si>
  <si>
    <t>ORD-10867</t>
  </si>
  <si>
    <t>Ashley Martin</t>
  </si>
  <si>
    <t>ORD-10868</t>
  </si>
  <si>
    <t>Jessica Smith</t>
  </si>
  <si>
    <t>ORD-10869</t>
  </si>
  <si>
    <t>ORD-10870</t>
  </si>
  <si>
    <t>ORD-10871</t>
  </si>
  <si>
    <t>ORD-10872</t>
  </si>
  <si>
    <t>Joseph Robinson</t>
  </si>
  <si>
    <t>ORD-10873</t>
  </si>
  <si>
    <t>David Davis</t>
  </si>
  <si>
    <t>ORD-10874</t>
  </si>
  <si>
    <t>ORD-10875</t>
  </si>
  <si>
    <t>Robert White</t>
  </si>
  <si>
    <t>ORD-10876</t>
  </si>
  <si>
    <t>ORD-10877</t>
  </si>
  <si>
    <t>Jessica Robinson</t>
  </si>
  <si>
    <t>ORD-10878</t>
  </si>
  <si>
    <t>ORD-10879</t>
  </si>
  <si>
    <t>ORD-10880</t>
  </si>
  <si>
    <t>ORD-10881</t>
  </si>
  <si>
    <t>Sarah Taylor</t>
  </si>
  <si>
    <t>ORD-10882</t>
  </si>
  <si>
    <t>ORD-10883</t>
  </si>
  <si>
    <t>Lisa Hernandez</t>
  </si>
  <si>
    <t>ORD-10884</t>
  </si>
  <si>
    <t>James Robinson</t>
  </si>
  <si>
    <t>ORD-10885</t>
  </si>
  <si>
    <t>Sarah Harris</t>
  </si>
  <si>
    <t>ORD-10886</t>
  </si>
  <si>
    <t>Robert Harris</t>
  </si>
  <si>
    <t>ORD-10887</t>
  </si>
  <si>
    <t>ORD-10888</t>
  </si>
  <si>
    <t>Jessica Jackson</t>
  </si>
  <si>
    <t>ORD-10889</t>
  </si>
  <si>
    <t>Michael Brown</t>
  </si>
  <si>
    <t>ORD-10890</t>
  </si>
  <si>
    <t>Andrew Ramirez</t>
  </si>
  <si>
    <t>ORD-10891</t>
  </si>
  <si>
    <t>Andrew Jones</t>
  </si>
  <si>
    <t>ORD-10892</t>
  </si>
  <si>
    <t>Robert Taylor</t>
  </si>
  <si>
    <t>ORD-10893</t>
  </si>
  <si>
    <t>ORD-10894</t>
  </si>
  <si>
    <t>ORD-10895</t>
  </si>
  <si>
    <t>ORD-10896</t>
  </si>
  <si>
    <t>ORD-10897</t>
  </si>
  <si>
    <t>ORD-10898</t>
  </si>
  <si>
    <t>Anthony Miller</t>
  </si>
  <si>
    <t>ORD-10899</t>
  </si>
  <si>
    <t>ORD-10900</t>
  </si>
  <si>
    <t>ORD-10901</t>
  </si>
  <si>
    <t>Mary Moore</t>
  </si>
  <si>
    <t>ORD-10902</t>
  </si>
  <si>
    <t>ORD-10903</t>
  </si>
  <si>
    <t>Susan Williams</t>
  </si>
  <si>
    <t>ORD-10904</t>
  </si>
  <si>
    <t>ORD-10905</t>
  </si>
  <si>
    <t>ORD-10906</t>
  </si>
  <si>
    <t>Robert Ramirez</t>
  </si>
  <si>
    <t>ORD-10907</t>
  </si>
  <si>
    <t>ORD-10908</t>
  </si>
  <si>
    <t>Carol Perez</t>
  </si>
  <si>
    <t>ORD-10909</t>
  </si>
  <si>
    <t>ORD-10910</t>
  </si>
  <si>
    <t>Lisa Thomas</t>
  </si>
  <si>
    <t>ORD-10911</t>
  </si>
  <si>
    <t>ORD-10912</t>
  </si>
  <si>
    <t>Joseph Ramirez</t>
  </si>
  <si>
    <t>ORD-10913</t>
  </si>
  <si>
    <t>Nancy Miller</t>
  </si>
  <si>
    <t>ORD-10914</t>
  </si>
  <si>
    <t>ORD-10915</t>
  </si>
  <si>
    <t>ORD-10916</t>
  </si>
  <si>
    <t>Carol Thompson</t>
  </si>
  <si>
    <t>ORD-10917</t>
  </si>
  <si>
    <t>ORD-10918</t>
  </si>
  <si>
    <t>ORD-10919</t>
  </si>
  <si>
    <t>Lisa Clark</t>
  </si>
  <si>
    <t>ORD-10920</t>
  </si>
  <si>
    <t>ORD-10921</t>
  </si>
  <si>
    <t>Richard Miller</t>
  </si>
  <si>
    <t>ORD-10922</t>
  </si>
  <si>
    <t>Paul Clark</t>
  </si>
  <si>
    <t>ORD-10923</t>
  </si>
  <si>
    <t>Andrew Martinez</t>
  </si>
  <si>
    <t>ORD-10924</t>
  </si>
  <si>
    <t>ORD-10925</t>
  </si>
  <si>
    <t>Joseph Garcia</t>
  </si>
  <si>
    <t>ORD-10926</t>
  </si>
  <si>
    <t>ORD-10927</t>
  </si>
  <si>
    <t>ORD-10928</t>
  </si>
  <si>
    <t>William Perez</t>
  </si>
  <si>
    <t>ORD-10929</t>
  </si>
  <si>
    <t>Joseph Martin</t>
  </si>
  <si>
    <t>ORD-10930</t>
  </si>
  <si>
    <t>ORD-10931</t>
  </si>
  <si>
    <t>ORD-10932</t>
  </si>
  <si>
    <t>David Sanchez</t>
  </si>
  <si>
    <t>ORD-10933</t>
  </si>
  <si>
    <t>ORD-10934</t>
  </si>
  <si>
    <t>Susan Thomas</t>
  </si>
  <si>
    <t>ORD-10935</t>
  </si>
  <si>
    <t>ORD-10936</t>
  </si>
  <si>
    <t>Richard Sanchez</t>
  </si>
  <si>
    <t>ORD-10937</t>
  </si>
  <si>
    <t>ORD-10938</t>
  </si>
  <si>
    <t>ORD-10939</t>
  </si>
  <si>
    <t>ORD-10940</t>
  </si>
  <si>
    <t>Thomas Ramirez</t>
  </si>
  <si>
    <t>ORD-10941</t>
  </si>
  <si>
    <t>Betty Brown</t>
  </si>
  <si>
    <t>ORD-10942</t>
  </si>
  <si>
    <t>ORD-10943</t>
  </si>
  <si>
    <t>David Thompson</t>
  </si>
  <si>
    <t>ORD-10944</t>
  </si>
  <si>
    <t>Robert Moore</t>
  </si>
  <si>
    <t>ORD-10945</t>
  </si>
  <si>
    <t>ORD-10946</t>
  </si>
  <si>
    <t>Andrew Lopez</t>
  </si>
  <si>
    <t>ORD-10947</t>
  </si>
  <si>
    <t>Thomas Thompson</t>
  </si>
  <si>
    <t>ORD-10948</t>
  </si>
  <si>
    <t>ORD-10949</t>
  </si>
  <si>
    <t>ORD-10950</t>
  </si>
  <si>
    <t>ORD-10951</t>
  </si>
  <si>
    <t>Sarah Robinson</t>
  </si>
  <si>
    <t>ORD-10952</t>
  </si>
  <si>
    <t>Nancy Jackson</t>
  </si>
  <si>
    <t>ORD-10953</t>
  </si>
  <si>
    <t>Kimberly Thompson</t>
  </si>
  <si>
    <t>ORD-10954</t>
  </si>
  <si>
    <t>ORD-10955</t>
  </si>
  <si>
    <t>Daniel White</t>
  </si>
  <si>
    <t>ORD-10956</t>
  </si>
  <si>
    <t>ORD-10957</t>
  </si>
  <si>
    <t>ORD-10958</t>
  </si>
  <si>
    <t>ORD-10959</t>
  </si>
  <si>
    <t>Robert Martinez</t>
  </si>
  <si>
    <t>ORD-10960</t>
  </si>
  <si>
    <t>James Lee</t>
  </si>
  <si>
    <t>ORD-10961</t>
  </si>
  <si>
    <t>ORD-10962</t>
  </si>
  <si>
    <t>Karen Johnson</t>
  </si>
  <si>
    <t>ORD-10963</t>
  </si>
  <si>
    <t>ORD-10964</t>
  </si>
  <si>
    <t>ORD-10965</t>
  </si>
  <si>
    <t>ORD-10966</t>
  </si>
  <si>
    <t>Matthew White</t>
  </si>
  <si>
    <t>ORD-10967</t>
  </si>
  <si>
    <t>ORD-10968</t>
  </si>
  <si>
    <t>ORD-10969</t>
  </si>
  <si>
    <t>ORD-10970</t>
  </si>
  <si>
    <t>ORD-10971</t>
  </si>
  <si>
    <t>Kenneth Robinson</t>
  </si>
  <si>
    <t>ORD-10972</t>
  </si>
  <si>
    <t>ORD-10973</t>
  </si>
  <si>
    <t>Matthew Lewis</t>
  </si>
  <si>
    <t>ORD-10974</t>
  </si>
  <si>
    <t>Kenneth Miller</t>
  </si>
  <si>
    <t>ORD-10975</t>
  </si>
  <si>
    <t>Donald Gonzalez</t>
  </si>
  <si>
    <t>ORD-10976</t>
  </si>
  <si>
    <t>Dorothy Lee</t>
  </si>
  <si>
    <t>ORD-10977</t>
  </si>
  <si>
    <t>ORD-10978</t>
  </si>
  <si>
    <t>ORD-10979</t>
  </si>
  <si>
    <t>ORD-10980</t>
  </si>
  <si>
    <t>ORD-10981</t>
  </si>
  <si>
    <t>Jennifer Taylor</t>
  </si>
  <si>
    <t>ORD-10982</t>
  </si>
  <si>
    <t>ORD-10983</t>
  </si>
  <si>
    <t>Kenneth Jackson</t>
  </si>
  <si>
    <t>ORD-10984</t>
  </si>
  <si>
    <t>ORD-10985</t>
  </si>
  <si>
    <t>ORD-10986</t>
  </si>
  <si>
    <t>Linda Lopez</t>
  </si>
  <si>
    <t>ORD-10987</t>
  </si>
  <si>
    <t>ORD-10988</t>
  </si>
  <si>
    <t>ORD-10989</t>
  </si>
  <si>
    <t>ORD-10990</t>
  </si>
  <si>
    <t>Daniel Hernandez</t>
  </si>
  <si>
    <t>ORD-10991</t>
  </si>
  <si>
    <t>Matthew Jackson</t>
  </si>
  <si>
    <t>ORD-10992</t>
  </si>
  <si>
    <t>ORD-10993</t>
  </si>
  <si>
    <t>ORD-10994</t>
  </si>
  <si>
    <t>ORD-10995</t>
  </si>
  <si>
    <t>ORD-10996</t>
  </si>
  <si>
    <t>ORD-10997</t>
  </si>
  <si>
    <t>Ashley Anderson</t>
  </si>
  <si>
    <t>ORD-10998</t>
  </si>
  <si>
    <t>ORD-10999</t>
  </si>
  <si>
    <t>Jennifer Lewis</t>
  </si>
  <si>
    <t>ORD-11000</t>
  </si>
  <si>
    <t>KPI</t>
  </si>
  <si>
    <t>Total Sales</t>
  </si>
  <si>
    <t>Value</t>
  </si>
  <si>
    <t>Total Profit</t>
  </si>
  <si>
    <t>Total Orders</t>
  </si>
  <si>
    <t>Average Order Value</t>
  </si>
  <si>
    <t>Total Unit Sold</t>
  </si>
  <si>
    <t>Highest Sales</t>
  </si>
  <si>
    <t>Lowest Sale</t>
  </si>
  <si>
    <t>Profit Margin</t>
  </si>
  <si>
    <t>Row Labels</t>
  </si>
  <si>
    <t>Grand Total</t>
  </si>
  <si>
    <t>Sum of Total Revenue</t>
  </si>
  <si>
    <t>Sum of Profit</t>
  </si>
  <si>
    <t>Column Labels</t>
  </si>
  <si>
    <t>2024</t>
  </si>
  <si>
    <t>2025</t>
  </si>
  <si>
    <t>Qtr1</t>
  </si>
  <si>
    <t>Jan</t>
  </si>
  <si>
    <t>Feb</t>
  </si>
  <si>
    <t>Mar</t>
  </si>
  <si>
    <t>Qtr3</t>
  </si>
  <si>
    <t>Sep</t>
  </si>
  <si>
    <t>Qtr4</t>
  </si>
  <si>
    <t>Nov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</si>
</sst>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7" formatCode="&quot;₹&quot;\ #,##0.00;&quot;₹&quot;\ \-#,##0.00"/>
    <numFmt numFmtId="44" formatCode="_ &quot;₹&quot;\ * #,##0.00_ ;_ &quot;₹&quot;\ * \-#,##0.00_ ;_ &quot;₹&quot;\ * &quot;-&quot;??_ ;_ @_ "/>
    <numFmt numFmtId="164" formatCode="mm/dd/yyyy"/>
    <numFmt numFmtId="165" formatCode="&quot;$&quot;#,##0.00"/>
    <numFmt numFmtId="166" formatCode="0&quot;%&quot;"/>
    <numFmt numFmtId="167" formatCode="&quot;₹&quot;\ #,##0.00;[Red]&quot;₹&quot;\ #,##0.00"/>
    <numFmt numFmtId="168" formatCode="_ [$₹-4009]\ * #,##0.00_ ;_ [$₹-4009]\ * \-#,##0.00_ ;_ [$₹-4009]\ * &quot;-&quot;??_ ;_ @_ "/>
  </numFmts>
  <fonts count="9" x14ac:knownFonts="1">
    <font>
      <sz val="11"/>
      <color theme="1"/>
      <name val="Aptos Narrow"/>
      <family val="2"/>
      <scheme val="minor"/>
    </font>
    <font>
      <b/>
      <sz val="11"/>
      <color rgb="FFFFFFFF"/>
      <name val="Aptos Narrow"/>
      <family val="2"/>
      <scheme val="minor"/>
    </font>
    <font>
      <sz val="11"/>
      <color theme="1"/>
      <name val="Aptos Narrow"/>
      <family val="2"/>
      <scheme val="minor"/>
    </font>
    <font>
      <b/>
      <sz val="11"/>
      <color theme="0"/>
      <name val="Aptos Narrow"/>
      <family val="2"/>
      <scheme val="minor"/>
    </font>
    <font>
      <sz val="14"/>
      <color theme="1"/>
      <name val="Aptos Narrow"/>
      <family val="2"/>
      <scheme val="minor"/>
    </font>
    <font>
      <b/>
      <sz val="16"/>
      <color theme="1"/>
      <name val="ADLaM Display"/>
    </font>
    <font>
      <b/>
      <sz val="24"/>
      <color theme="1"/>
      <name val="Aptos Narrow"/>
      <family val="2"/>
      <scheme val="minor"/>
    </font>
    <font>
      <b/>
      <sz val="20"/>
      <color theme="1"/>
      <name val="Aptos Narrow"/>
      <family val="2"/>
      <scheme val="minor"/>
    </font>
    <font>
      <sz val="11"/>
      <color theme="1"/>
      <name val="Congenial Black"/>
    </font>
  </fonts>
  <fills count="6">
    <fill>
      <patternFill patternType="none"/>
    </fill>
    <fill>
      <patternFill patternType="gray125"/>
    </fill>
    <fill>
      <patternFill patternType="solid">
        <fgColor rgb="FF4472C4"/>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37">
    <xf numFmtId="0" fontId="0" fillId="0" borderId="0" xfId="0"/>
    <xf numFmtId="165" fontId="0" fillId="0" borderId="0" xfId="0" applyNumberFormat="1"/>
    <xf numFmtId="0" fontId="1" fillId="2" borderId="2" xfId="0" applyFont="1" applyFill="1" applyBorder="1" applyAlignment="1">
      <alignment horizontal="center"/>
    </xf>
    <xf numFmtId="0" fontId="1" fillId="2" borderId="3" xfId="0" applyFont="1" applyFill="1" applyBorder="1" applyAlignment="1">
      <alignment horizontal="center"/>
    </xf>
    <xf numFmtId="0" fontId="1" fillId="2" borderId="4" xfId="0" applyFont="1" applyFill="1" applyBorder="1" applyAlignment="1">
      <alignment horizontal="center"/>
    </xf>
    <xf numFmtId="0" fontId="0" fillId="0" borderId="5" xfId="0" applyBorder="1"/>
    <xf numFmtId="164" fontId="0" fillId="0" borderId="1" xfId="0" applyNumberFormat="1" applyBorder="1"/>
    <xf numFmtId="0" fontId="0" fillId="0" borderId="1" xfId="0" applyBorder="1"/>
    <xf numFmtId="165" fontId="0" fillId="0" borderId="1" xfId="0" applyNumberFormat="1" applyBorder="1"/>
    <xf numFmtId="166" fontId="0" fillId="0" borderId="1" xfId="0" applyNumberFormat="1" applyBorder="1"/>
    <xf numFmtId="0" fontId="0" fillId="0" borderId="6" xfId="0" applyBorder="1"/>
    <xf numFmtId="0" fontId="0" fillId="0" borderId="7" xfId="0" applyBorder="1"/>
    <xf numFmtId="164" fontId="0" fillId="0" borderId="8" xfId="0" applyNumberFormat="1" applyBorder="1"/>
    <xf numFmtId="0" fontId="0" fillId="0" borderId="8" xfId="0" applyBorder="1"/>
    <xf numFmtId="165" fontId="0" fillId="0" borderId="8" xfId="0" applyNumberFormat="1" applyBorder="1"/>
    <xf numFmtId="166" fontId="0" fillId="0" borderId="8" xfId="0" applyNumberFormat="1" applyBorder="1"/>
    <xf numFmtId="0" fontId="0" fillId="0" borderId="9" xfId="0" applyBorder="1"/>
    <xf numFmtId="0" fontId="3" fillId="4" borderId="9" xfId="0" applyFont="1" applyFill="1" applyBorder="1"/>
    <xf numFmtId="0" fontId="3" fillId="4" borderId="8" xfId="0" applyFont="1" applyFill="1" applyBorder="1"/>
    <xf numFmtId="0" fontId="0" fillId="3" borderId="9" xfId="0" applyFill="1" applyBorder="1"/>
    <xf numFmtId="7" fontId="0" fillId="0" borderId="0" xfId="0" applyNumberFormat="1"/>
    <xf numFmtId="167" fontId="0" fillId="0" borderId="0" xfId="0" applyNumberFormat="1"/>
    <xf numFmtId="9" fontId="0" fillId="0" borderId="0" xfId="2" applyFon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0" fontId="0" fillId="5" borderId="0" xfId="0" applyFill="1"/>
    <xf numFmtId="0" fontId="4" fillId="5" borderId="0" xfId="0" applyFont="1" applyFill="1"/>
    <xf numFmtId="167" fontId="4" fillId="5" borderId="0" xfId="1" applyNumberFormat="1" applyFont="1" applyFill="1" applyBorder="1" applyAlignment="1"/>
    <xf numFmtId="0" fontId="6" fillId="5" borderId="10" xfId="0" applyFont="1" applyFill="1" applyBorder="1"/>
    <xf numFmtId="0" fontId="6" fillId="5" borderId="0" xfId="0" applyFont="1" applyFill="1"/>
    <xf numFmtId="167" fontId="5" fillId="5" borderId="0" xfId="1" applyNumberFormat="1" applyFont="1" applyFill="1" applyBorder="1" applyAlignment="1">
      <alignment vertical="center"/>
    </xf>
    <xf numFmtId="0" fontId="7" fillId="5" borderId="0" xfId="0" applyFont="1" applyFill="1"/>
    <xf numFmtId="0" fontId="8" fillId="5" borderId="0" xfId="0" applyFont="1" applyFill="1"/>
    <xf numFmtId="168" fontId="0" fillId="3" borderId="8" xfId="0" applyNumberFormat="1" applyFill="1" applyBorder="1"/>
    <xf numFmtId="44" fontId="0" fillId="0" borderId="1" xfId="1" applyFont="1" applyBorder="1"/>
  </cellXfs>
  <cellStyles count="3">
    <cellStyle name="Currency" xfId="1" builtinId="4"/>
    <cellStyle name="Normal" xfId="0" builtinId="0"/>
    <cellStyle name="Percent" xfId="2" builtinId="5"/>
  </cellStyles>
  <dxfs count="18">
    <dxf>
      <border diagonalUp="0" diagonalDown="0">
        <left style="thin">
          <color indexed="64"/>
        </left>
        <right/>
        <top style="thin">
          <color indexed="64"/>
        </top>
        <bottom style="thin">
          <color indexed="64"/>
        </bottom>
        <vertical style="thin">
          <color indexed="64"/>
        </vertical>
        <horizontal style="thin">
          <color indexed="64"/>
        </horizontal>
      </border>
    </dxf>
    <dxf>
      <numFmt numFmtId="165"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quo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mm/dd/yyyy"/>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b/>
        <i val="0"/>
        <strike val="0"/>
        <condense val="0"/>
        <extend val="0"/>
        <outline val="0"/>
        <shadow val="0"/>
        <u val="none"/>
        <vertAlign val="baseline"/>
        <sz val="11"/>
        <color rgb="FFFFFFFF"/>
        <name val="Aptos Narrow"/>
        <family val="2"/>
        <scheme val="minor"/>
      </font>
      <fill>
        <patternFill patternType="solid">
          <fgColor indexed="64"/>
          <bgColor rgb="FF4472C4"/>
        </patternFill>
      </fill>
      <alignment horizontal="center" vertical="bottom" textRotation="0" wrapText="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ont>
        <b/>
        <i val="0"/>
        <sz val="14"/>
        <color theme="1"/>
      </font>
    </dxf>
    <dxf>
      <font>
        <b/>
        <i val="0"/>
        <sz val="12"/>
      </font>
    </dxf>
  </dxfs>
  <tableStyles count="2" defaultTableStyle="TableStyleMedium2" defaultPivotStyle="PivotStyleLight16">
    <tableStyle name="Slicer Style 1" pivot="0" table="0" count="9" xr9:uid="{691AC2B5-DFBD-4C9F-BB6B-9BF2658D891F}">
      <tableStyleElement type="headerRow" dxfId="17"/>
    </tableStyle>
    <tableStyle name="Slicer Style 2" pivot="0" table="0" count="9" xr9:uid="{677133DE-8675-40C0-B095-71AF23672C3E}">
      <tableStyleElement type="headerRow" dxfId="16"/>
    </tableStyle>
  </tableStyles>
  <colors>
    <mruColors>
      <color rgb="FF215F9A"/>
    </mruColors>
  </colors>
  <extLst>
    <ext xmlns:x14="http://schemas.microsoft.com/office/spreadsheetml/2009/9/main" uri="{46F421CA-312F-682f-3DD2-61675219B42D}">
      <x14:dxfs count="16">
        <dxf>
          <fill>
            <gradientFill degree="90">
              <stop position="0">
                <color theme="3" tint="0.74901577806939912"/>
              </stop>
              <stop position="1">
                <color theme="3" tint="0.25098422193060094"/>
              </stop>
            </gradientFill>
          </fill>
        </dxf>
        <dxf>
          <fill>
            <gradientFill degree="90">
              <stop position="0">
                <color theme="3" tint="0.49803155613879818"/>
              </stop>
              <stop position="1">
                <color theme="3" tint="0.25098422193060094"/>
              </stop>
            </gradientFill>
          </fill>
        </dxf>
        <dxf>
          <fill>
            <gradientFill degree="90">
              <stop position="0">
                <color theme="3" tint="0.74901577806939912"/>
              </stop>
              <stop position="1">
                <color theme="3" tint="0.49803155613879818"/>
              </stop>
            </gradientFill>
          </fill>
        </dxf>
        <dxf>
          <fill>
            <gradientFill degree="90">
              <stop position="0">
                <color theme="3" tint="0.49803155613879818"/>
              </stop>
              <stop position="1">
                <color theme="3" tint="0.25098422193060094"/>
              </stop>
            </gradientFill>
          </fill>
        </dxf>
        <dxf>
          <fill>
            <gradientFill degree="90">
              <stop position="0">
                <color theme="3" tint="0.74901577806939912"/>
              </stop>
              <stop position="1">
                <color theme="3" tint="0.49803155613879818"/>
              </stop>
            </gradientFill>
          </fill>
        </dxf>
        <dxf>
          <fill>
            <gradientFill degree="90">
              <stop position="0">
                <color theme="3" tint="0.74901577806939912"/>
              </stop>
              <stop position="1">
                <color theme="3" tint="0.49803155613879818"/>
              </stop>
            </gradientFill>
          </fill>
        </dxf>
        <dxf>
          <fill>
            <gradientFill degree="90">
              <stop position="0">
                <color theme="3" tint="0.49803155613879818"/>
              </stop>
              <stop position="1">
                <color theme="3" tint="0.25098422193060094"/>
              </stop>
            </gradientFill>
          </fill>
        </dxf>
        <dxf>
          <fill>
            <gradientFill degree="90">
              <stop position="0">
                <color theme="3" tint="0.49803155613879818"/>
              </stop>
              <stop position="1">
                <color theme="3" tint="0.25098422193060094"/>
              </stop>
            </gradientFill>
          </fill>
        </dxf>
        <dxf>
          <font>
            <b/>
            <i val="0"/>
            <color theme="0"/>
          </font>
          <fill>
            <patternFill>
              <bgColor theme="3" tint="0.749961851863155"/>
            </patternFill>
          </fill>
        </dxf>
        <dxf>
          <font>
            <b/>
            <i val="0"/>
            <color theme="0"/>
          </font>
          <fill>
            <patternFill>
              <bgColor theme="3" tint="0.24994659260841701"/>
            </patternFill>
          </fill>
        </dxf>
        <dxf>
          <font>
            <b/>
            <i val="0"/>
            <color theme="0"/>
          </font>
          <fill>
            <patternFill>
              <bgColor theme="3" tint="0.749961851863155"/>
            </patternFill>
          </fill>
        </dxf>
        <dxf>
          <font>
            <b/>
            <i val="0"/>
            <color theme="0"/>
          </font>
          <fill>
            <patternFill>
              <bgColor theme="3" tint="0.24994659260841701"/>
            </patternFill>
          </fill>
        </dxf>
        <dxf>
          <font>
            <b/>
            <i val="0"/>
            <color theme="0"/>
          </font>
          <fill>
            <patternFill>
              <bgColor theme="3" tint="0.749961851863155"/>
            </patternFill>
          </fill>
        </dxf>
        <dxf>
          <font>
            <b/>
            <i val="0"/>
            <color theme="0"/>
          </font>
          <fill>
            <patternFill>
              <bgColor theme="3" tint="0.749961851863155"/>
            </patternFill>
          </fill>
        </dxf>
        <dxf>
          <font>
            <b/>
            <i val="0"/>
            <color theme="0"/>
          </font>
          <fill>
            <gradientFill degree="90">
              <stop position="0">
                <color theme="3" tint="0.49803155613879818"/>
              </stop>
              <stop position="1">
                <color theme="3" tint="0.25098422193060094"/>
              </stop>
            </gradientFill>
          </fill>
        </dxf>
        <dxf>
          <font>
            <b/>
            <i val="0"/>
            <color theme="0"/>
          </font>
          <fill>
            <gradientFill degree="90">
              <stop position="0">
                <color theme="3" tint="0.49803155613879818"/>
              </stop>
              <stop position="1">
                <color theme="3" tint="0.25098422193060094"/>
              </stop>
            </gradient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Orders.xlsx]Pivot table!PivotTable4</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15F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table'!$B$17</c:f>
              <c:strCache>
                <c:ptCount val="1"/>
                <c:pt idx="0">
                  <c:v>Total</c:v>
                </c:pt>
              </c:strCache>
            </c:strRef>
          </c:tx>
          <c:spPr>
            <a:solidFill>
              <a:srgbClr val="215F9A"/>
            </a:solidFill>
            <a:ln>
              <a:noFill/>
            </a:ln>
            <a:effectLst/>
          </c:spPr>
          <c:invertIfNegative val="0"/>
          <c:cat>
            <c:strRef>
              <c:f>'Pivot table'!$A$18:$A$19</c:f>
              <c:strCache>
                <c:ptCount val="1"/>
                <c:pt idx="0">
                  <c:v>Central</c:v>
                </c:pt>
              </c:strCache>
            </c:strRef>
          </c:cat>
          <c:val>
            <c:numRef>
              <c:f>'Pivot table'!$B$18:$B$19</c:f>
              <c:numCache>
                <c:formatCode>"$"#,##0.00</c:formatCode>
                <c:ptCount val="1"/>
                <c:pt idx="0">
                  <c:v>82.15</c:v>
                </c:pt>
              </c:numCache>
            </c:numRef>
          </c:val>
          <c:extLst>
            <c:ext xmlns:c16="http://schemas.microsoft.com/office/drawing/2014/chart" uri="{C3380CC4-5D6E-409C-BE32-E72D297353CC}">
              <c16:uniqueId val="{00000000-B389-487C-B169-5B0467560E6F}"/>
            </c:ext>
          </c:extLst>
        </c:ser>
        <c:dLbls>
          <c:showLegendKey val="0"/>
          <c:showVal val="0"/>
          <c:showCatName val="0"/>
          <c:showSerName val="0"/>
          <c:showPercent val="0"/>
          <c:showBubbleSize val="0"/>
        </c:dLbls>
        <c:gapWidth val="182"/>
        <c:axId val="1825328928"/>
        <c:axId val="1818996208"/>
      </c:barChart>
      <c:catAx>
        <c:axId val="1825328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996208"/>
        <c:crosses val="autoZero"/>
        <c:auto val="1"/>
        <c:lblAlgn val="ctr"/>
        <c:lblOffset val="100"/>
        <c:noMultiLvlLbl val="0"/>
      </c:catAx>
      <c:valAx>
        <c:axId val="181899620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328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Orders.xlsx]Pivot table!PivotTable7</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15F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table'!$E$17</c:f>
              <c:strCache>
                <c:ptCount val="1"/>
                <c:pt idx="0">
                  <c:v>Total</c:v>
                </c:pt>
              </c:strCache>
            </c:strRef>
          </c:tx>
          <c:spPr>
            <a:solidFill>
              <a:srgbClr val="215F9A"/>
            </a:solidFill>
            <a:ln>
              <a:noFill/>
            </a:ln>
            <a:effectLst/>
          </c:spPr>
          <c:invertIfNegative val="0"/>
          <c:cat>
            <c:strRef>
              <c:f>'Pivot table'!$D$18:$D$19</c:f>
              <c:strCache>
                <c:ptCount val="1"/>
                <c:pt idx="0">
                  <c:v>Electronics</c:v>
                </c:pt>
              </c:strCache>
            </c:strRef>
          </c:cat>
          <c:val>
            <c:numRef>
              <c:f>'Pivot table'!$E$18:$E$19</c:f>
              <c:numCache>
                <c:formatCode>"$"#,##0.00</c:formatCode>
                <c:ptCount val="1"/>
                <c:pt idx="0">
                  <c:v>82.15</c:v>
                </c:pt>
              </c:numCache>
            </c:numRef>
          </c:val>
          <c:extLst>
            <c:ext xmlns:c16="http://schemas.microsoft.com/office/drawing/2014/chart" uri="{C3380CC4-5D6E-409C-BE32-E72D297353CC}">
              <c16:uniqueId val="{00000000-DA37-4D19-A8A7-1C0251C6AA67}"/>
            </c:ext>
          </c:extLst>
        </c:ser>
        <c:dLbls>
          <c:showLegendKey val="0"/>
          <c:showVal val="0"/>
          <c:showCatName val="0"/>
          <c:showSerName val="0"/>
          <c:showPercent val="0"/>
          <c:showBubbleSize val="0"/>
        </c:dLbls>
        <c:gapWidth val="182"/>
        <c:axId val="1825302016"/>
        <c:axId val="1818875728"/>
      </c:barChart>
      <c:catAx>
        <c:axId val="18253020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875728"/>
        <c:crosses val="autoZero"/>
        <c:auto val="1"/>
        <c:lblAlgn val="ctr"/>
        <c:lblOffset val="100"/>
        <c:noMultiLvlLbl val="0"/>
      </c:catAx>
      <c:valAx>
        <c:axId val="1818875728"/>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53020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Orders.xlsx]Pivot table!PivotTable2</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15F9A"/>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c:f>
              <c:strCache>
                <c:ptCount val="1"/>
                <c:pt idx="0">
                  <c:v>Total</c:v>
                </c:pt>
              </c:strCache>
            </c:strRef>
          </c:tx>
          <c:spPr>
            <a:solidFill>
              <a:srgbClr val="215F9A"/>
            </a:solidFill>
            <a:ln>
              <a:noFill/>
            </a:ln>
            <a:effectLst/>
          </c:spPr>
          <c:invertIfNegative val="0"/>
          <c:cat>
            <c:strRef>
              <c:f>'Pivot table'!$A$2:$A$3</c:f>
              <c:strCache>
                <c:ptCount val="1"/>
                <c:pt idx="0">
                  <c:v>Central</c:v>
                </c:pt>
              </c:strCache>
            </c:strRef>
          </c:cat>
          <c:val>
            <c:numRef>
              <c:f>'Pivot table'!$B$2:$B$3</c:f>
              <c:numCache>
                <c:formatCode>"$"#,##0.00</c:formatCode>
                <c:ptCount val="1"/>
                <c:pt idx="0">
                  <c:v>575.66</c:v>
                </c:pt>
              </c:numCache>
            </c:numRef>
          </c:val>
          <c:extLst>
            <c:ext xmlns:c16="http://schemas.microsoft.com/office/drawing/2014/chart" uri="{C3380CC4-5D6E-409C-BE32-E72D297353CC}">
              <c16:uniqueId val="{00000000-4BC8-4CBA-BAA2-320B34D828C0}"/>
            </c:ext>
          </c:extLst>
        </c:ser>
        <c:dLbls>
          <c:showLegendKey val="0"/>
          <c:showVal val="0"/>
          <c:showCatName val="0"/>
          <c:showSerName val="0"/>
          <c:showPercent val="0"/>
          <c:showBubbleSize val="0"/>
        </c:dLbls>
        <c:gapWidth val="219"/>
        <c:overlap val="-27"/>
        <c:axId val="1941790672"/>
        <c:axId val="1818930928"/>
      </c:barChart>
      <c:catAx>
        <c:axId val="194179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930928"/>
        <c:crosses val="autoZero"/>
        <c:auto val="1"/>
        <c:lblAlgn val="ctr"/>
        <c:lblOffset val="100"/>
        <c:noMultiLvlLbl val="0"/>
      </c:catAx>
      <c:valAx>
        <c:axId val="1818930928"/>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17906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Orders.xlsx]Pivot table!PivotTable5</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tx2">
              <a:lumMod val="25000"/>
              <a:lumOff val="75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tx2">
              <a:lumMod val="50000"/>
              <a:lumOff val="50000"/>
            </a:schemeClr>
          </a:solidFill>
          <a:ln w="19050">
            <a:solidFill>
              <a:schemeClr val="lt1"/>
            </a:solidFill>
          </a:ln>
          <a:effectLst/>
        </c:spPr>
      </c:pivotFmt>
      <c:pivotFmt>
        <c:idx val="7"/>
        <c:spPr>
          <a:solidFill>
            <a:schemeClr val="tx2">
              <a:lumMod val="25000"/>
              <a:lumOff val="75000"/>
            </a:schemeClr>
          </a:solidFill>
          <a:ln w="19050">
            <a:solidFill>
              <a:schemeClr val="lt1"/>
            </a:solidFill>
          </a:ln>
          <a:effectLst/>
        </c:spPr>
      </c:pivotFmt>
      <c:pivotFmt>
        <c:idx val="8"/>
        <c:spPr>
          <a:solidFill>
            <a:srgbClr val="215F9A"/>
          </a:solidFill>
          <a:ln w="19050">
            <a:solidFill>
              <a:schemeClr val="lt1"/>
            </a:solidFill>
          </a:ln>
          <a:effectLst/>
        </c:spPr>
      </c:pivotFmt>
    </c:pivotFmts>
    <c:plotArea>
      <c:layout/>
      <c:doughnutChart>
        <c:varyColors val="1"/>
        <c:ser>
          <c:idx val="0"/>
          <c:order val="0"/>
          <c:tx>
            <c:strRef>
              <c:f>'Pivot table'!$E$1</c:f>
              <c:strCache>
                <c:ptCount val="1"/>
                <c:pt idx="0">
                  <c:v>Total</c:v>
                </c:pt>
              </c:strCache>
            </c:strRef>
          </c:tx>
          <c:spPr>
            <a:solidFill>
              <a:schemeClr val="tx2">
                <a:lumMod val="25000"/>
                <a:lumOff val="75000"/>
              </a:schemeClr>
            </a:solidFill>
          </c:spPr>
          <c:dPt>
            <c:idx val="0"/>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1-DCDB-4E80-865A-C2DD4AC39529}"/>
              </c:ext>
            </c:extLst>
          </c:dPt>
          <c:dPt>
            <c:idx val="1"/>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3-DCDB-4E80-865A-C2DD4AC39529}"/>
              </c:ext>
            </c:extLst>
          </c:dPt>
          <c:dPt>
            <c:idx val="2"/>
            <c:bubble3D val="0"/>
            <c:spPr>
              <a:solidFill>
                <a:schemeClr val="tx2">
                  <a:lumMod val="25000"/>
                  <a:lumOff val="75000"/>
                </a:schemeClr>
              </a:solidFill>
              <a:ln w="19050">
                <a:solidFill>
                  <a:schemeClr val="lt1"/>
                </a:solidFill>
              </a:ln>
              <a:effectLst/>
            </c:spPr>
            <c:extLst>
              <c:ext xmlns:c16="http://schemas.microsoft.com/office/drawing/2014/chart" uri="{C3380CC4-5D6E-409C-BE32-E72D297353CC}">
                <c16:uniqueId val="{00000005-DCDB-4E80-865A-C2DD4AC3952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table'!$D$2:$D$3</c:f>
              <c:strCache>
                <c:ptCount val="1"/>
                <c:pt idx="0">
                  <c:v>Same Day</c:v>
                </c:pt>
              </c:strCache>
            </c:strRef>
          </c:cat>
          <c:val>
            <c:numRef>
              <c:f>'Pivot table'!$E$2:$E$3</c:f>
              <c:numCache>
                <c:formatCode>"$"#,##0.00</c:formatCode>
                <c:ptCount val="1"/>
                <c:pt idx="0">
                  <c:v>575.66</c:v>
                </c:pt>
              </c:numCache>
            </c:numRef>
          </c:val>
          <c:extLst>
            <c:ext xmlns:c16="http://schemas.microsoft.com/office/drawing/2014/chart" uri="{C3380CC4-5D6E-409C-BE32-E72D297353CC}">
              <c16:uniqueId val="{00000006-DCDB-4E80-865A-C2DD4AC39529}"/>
            </c:ext>
          </c:extLst>
        </c:ser>
        <c:dLbls>
          <c:showLegendKey val="0"/>
          <c:showVal val="1"/>
          <c:showCatName val="0"/>
          <c:showSerName val="0"/>
          <c:showPercent val="0"/>
          <c:showBubbleSize val="0"/>
          <c:showLeaderLines val="1"/>
        </c:dLbls>
        <c:firstSliceAng val="151"/>
        <c:holeSize val="55"/>
      </c:doughnutChart>
      <c:spPr>
        <a:noFill/>
        <a:ln>
          <a:noFill/>
        </a:ln>
        <a:effectLst/>
      </c:spPr>
    </c:plotArea>
    <c:legend>
      <c:legendPos val="r"/>
      <c:layout>
        <c:manualLayout>
          <c:xMode val="edge"/>
          <c:yMode val="edge"/>
          <c:x val="0.71704547930283224"/>
          <c:y val="0.32736458913003152"/>
          <c:w val="0.18011167318444854"/>
          <c:h val="0.194753361843193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effectLst>
                <a:outerShdw blurRad="50800" dist="50800" dir="5400000" sx="21000" sy="21000" algn="ctr" rotWithShape="0">
                  <a:srgbClr val="000000">
                    <a:alpha val="43137"/>
                  </a:srgbClr>
                </a:outerShdw>
              </a:effectLst>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[08 E-Commerce Orders.xlsx]Pivot table!PivotTable8</c:name>
    <c:fmtId val="3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rgbClr val="215F9A"/>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table'!$H$17</c:f>
              <c:strCache>
                <c:ptCount val="1"/>
                <c:pt idx="0">
                  <c:v>Total</c:v>
                </c:pt>
              </c:strCache>
            </c:strRef>
          </c:tx>
          <c:spPr>
            <a:ln w="28575" cap="rnd">
              <a:solidFill>
                <a:schemeClr val="accent1"/>
              </a:solidFill>
              <a:round/>
            </a:ln>
            <a:effectLst/>
          </c:spPr>
          <c:marker>
            <c:symbol val="circle"/>
            <c:size val="5"/>
            <c:spPr>
              <a:solidFill>
                <a:srgbClr val="215F9A"/>
              </a:solidFill>
              <a:ln w="9525">
                <a:solidFill>
                  <a:schemeClr val="accent1"/>
                </a:solidFill>
              </a:ln>
              <a:effectLst/>
            </c:spPr>
          </c:marker>
          <c:cat>
            <c:multiLvlStrRef>
              <c:f>'Pivot table'!$G$18:$G$28</c:f>
              <c:multiLvlStrCache>
                <c:ptCount val="5"/>
                <c:lvl>
                  <c:pt idx="0">
                    <c:v>Jan</c:v>
                  </c:pt>
                  <c:pt idx="1">
                    <c:v>Feb</c:v>
                  </c:pt>
                  <c:pt idx="2">
                    <c:v>Mar</c:v>
                  </c:pt>
                  <c:pt idx="3">
                    <c:v>Nov</c:v>
                  </c:pt>
                  <c:pt idx="4">
                    <c:v>Sep</c:v>
                  </c:pt>
                </c:lvl>
                <c:lvl>
                  <c:pt idx="0">
                    <c:v>Qtr1</c:v>
                  </c:pt>
                  <c:pt idx="3">
                    <c:v>Qtr4</c:v>
                  </c:pt>
                  <c:pt idx="4">
                    <c:v>Qtr3</c:v>
                  </c:pt>
                </c:lvl>
                <c:lvl>
                  <c:pt idx="0">
                    <c:v>2024</c:v>
                  </c:pt>
                  <c:pt idx="4">
                    <c:v>2025</c:v>
                  </c:pt>
                </c:lvl>
              </c:multiLvlStrCache>
            </c:multiLvlStrRef>
          </c:cat>
          <c:val>
            <c:numRef>
              <c:f>'Pivot table'!$H$18:$H$28</c:f>
              <c:numCache>
                <c:formatCode>"$"#,##0.00</c:formatCode>
                <c:ptCount val="5"/>
                <c:pt idx="0">
                  <c:v>127.52</c:v>
                </c:pt>
                <c:pt idx="1">
                  <c:v>168.81</c:v>
                </c:pt>
                <c:pt idx="2">
                  <c:v>172.43</c:v>
                </c:pt>
                <c:pt idx="3">
                  <c:v>71.62</c:v>
                </c:pt>
                <c:pt idx="4">
                  <c:v>35.28</c:v>
                </c:pt>
              </c:numCache>
            </c:numRef>
          </c:val>
          <c:smooth val="0"/>
          <c:extLst>
            <c:ext xmlns:c16="http://schemas.microsoft.com/office/drawing/2014/chart" uri="{C3380CC4-5D6E-409C-BE32-E72D297353CC}">
              <c16:uniqueId val="{00000000-8D7A-4F06-9974-5DC6B1863EDC}"/>
            </c:ext>
          </c:extLst>
        </c:ser>
        <c:dLbls>
          <c:showLegendKey val="0"/>
          <c:showVal val="0"/>
          <c:showCatName val="0"/>
          <c:showSerName val="0"/>
          <c:showPercent val="0"/>
          <c:showBubbleSize val="0"/>
        </c:dLbls>
        <c:marker val="1"/>
        <c:smooth val="0"/>
        <c:axId val="2129637552"/>
        <c:axId val="1613983696"/>
      </c:lineChart>
      <c:catAx>
        <c:axId val="212963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3983696"/>
        <c:crosses val="autoZero"/>
        <c:auto val="1"/>
        <c:lblAlgn val="ctr"/>
        <c:lblOffset val="100"/>
        <c:noMultiLvlLbl val="1"/>
      </c:catAx>
      <c:valAx>
        <c:axId val="1613983696"/>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963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00000000-2124-4785-96AB-99729D4CD4D2}">
          <cx:spPr>
            <a:solidFill>
              <a:schemeClr val="tx2">
                <a:lumMod val="10000"/>
                <a:lumOff val="90000"/>
              </a:schemeClr>
            </a:solidFill>
          </cx:spPr>
          <cx:dataPt idx="0">
            <cx:spPr>
              <a:solidFill>
                <a:srgbClr val="0E2841">
                  <a:lumMod val="10000"/>
                  <a:lumOff val="90000"/>
                </a:srgbClr>
              </a:solidFill>
            </cx:spPr>
          </cx:dataPt>
          <cx:dataPt idx="1">
            <cx:spPr>
              <a:solidFill>
                <a:srgbClr val="0E2841">
                  <a:lumMod val="75000"/>
                  <a:lumOff val="25000"/>
                </a:srgbClr>
              </a:solidFill>
            </cx:spPr>
          </cx:dataPt>
          <cx:dataPt idx="2">
            <cx:spPr>
              <a:solidFill>
                <a:srgbClr val="0E2841">
                  <a:lumMod val="90000"/>
                  <a:lumOff val="10000"/>
                </a:srgbClr>
              </a:solidFill>
            </cx:spPr>
          </cx:dataPt>
          <cx:dataPt idx="3">
            <cx:spPr>
              <a:solidFill>
                <a:srgbClr val="0E2841">
                  <a:lumMod val="50000"/>
                  <a:lumOff val="50000"/>
                </a:srgbClr>
              </a:solidFill>
            </cx:spPr>
          </cx:dataPt>
          <cx:dataPt idx="4">
            <cx:spPr>
              <a:solidFill>
                <a:srgbClr val="0E2841">
                  <a:lumMod val="25000"/>
                  <a:lumOff val="75000"/>
                </a:srgbClr>
              </a:solidFill>
            </cx:spPr>
          </cx:dataPt>
          <cx:dataLabels pos="inEnd">
            <cx:numFmt formatCode="₹ #,##0.00" sourceLinked="0"/>
            <cx:txPr>
              <a:bodyPr spcFirstLastPara="1" vertOverflow="ellipsis" horzOverflow="overflow" wrap="square" lIns="0" tIns="0" rIns="0" bIns="0" anchor="ctr" anchorCtr="1"/>
              <a:lstStyle/>
              <a:p>
                <a:pPr algn="ctr" rtl="0">
                  <a:defRPr>
                    <a:ln>
                      <a:noFill/>
                    </a:ln>
                    <a:solidFill>
                      <a:schemeClr val="bg1"/>
                    </a:solidFill>
                  </a:defRPr>
                </a:pPr>
                <a:endParaRPr lang="en-US" sz="900" b="0" i="0" u="none" strike="noStrike" baseline="0">
                  <a:ln>
                    <a:noFill/>
                  </a:ln>
                  <a:solidFill>
                    <a:schemeClr val="bg1"/>
                  </a:solidFill>
                  <a:latin typeface="Aptos Narrow" panose="02110004020202020204"/>
                </a:endParaRPr>
              </a:p>
            </cx:txPr>
            <cx:visibility seriesName="0" categoryName="1" value="1"/>
            <cx:separator>, </cx:separator>
          </cx:dataLabels>
          <cx:dataId val="0"/>
          <cx:layoutPr>
            <cx:parentLabelLayout val="overlapping"/>
          </cx:layoutPr>
        </cx:series>
      </cx:plotAreaRegion>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microsoft.com/office/2014/relationships/chartEx" Target="../charts/chartEx1.xml"/><Relationship Id="rId7" Type="http://schemas.openxmlformats.org/officeDocument/2006/relationships/chart" Target="../charts/chart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563880</xdr:colOff>
      <xdr:row>37</xdr:row>
      <xdr:rowOff>175260</xdr:rowOff>
    </xdr:to>
    <xdr:sp macro="" textlink="">
      <xdr:nvSpPr>
        <xdr:cNvPr id="31" name="Rectangle 30">
          <a:extLst>
            <a:ext uri="{FF2B5EF4-FFF2-40B4-BE49-F238E27FC236}">
              <a16:creationId xmlns:a16="http://schemas.microsoft.com/office/drawing/2014/main" id="{3B24466B-C1CF-D7BE-D2A2-E64E061691FB}"/>
            </a:ext>
          </a:extLst>
        </xdr:cNvPr>
        <xdr:cNvSpPr/>
      </xdr:nvSpPr>
      <xdr:spPr>
        <a:xfrm>
          <a:off x="0" y="0"/>
          <a:ext cx="14584680" cy="7345680"/>
        </a:xfrm>
        <a:prstGeom prst="rect">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76200</xdr:colOff>
      <xdr:row>1</xdr:row>
      <xdr:rowOff>160020</xdr:rowOff>
    </xdr:from>
    <xdr:to>
      <xdr:col>3</xdr:col>
      <xdr:colOff>205740</xdr:colOff>
      <xdr:row>34</xdr:row>
      <xdr:rowOff>22860</xdr:rowOff>
    </xdr:to>
    <xdr:sp macro="" textlink="">
      <xdr:nvSpPr>
        <xdr:cNvPr id="35" name="Rectangle: Rounded Corners 34">
          <a:extLst>
            <a:ext uri="{FF2B5EF4-FFF2-40B4-BE49-F238E27FC236}">
              <a16:creationId xmlns:a16="http://schemas.microsoft.com/office/drawing/2014/main" id="{6FDA3E43-A997-A9CF-2952-7B674A20671E}"/>
            </a:ext>
          </a:extLst>
        </xdr:cNvPr>
        <xdr:cNvSpPr/>
      </xdr:nvSpPr>
      <xdr:spPr>
        <a:xfrm>
          <a:off x="76200" y="556260"/>
          <a:ext cx="1958340" cy="6088380"/>
        </a:xfrm>
        <a:prstGeom prst="roundRect">
          <a:avLst>
            <a:gd name="adj" fmla="val 9229"/>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68580</xdr:colOff>
      <xdr:row>0</xdr:row>
      <xdr:rowOff>34290</xdr:rowOff>
    </xdr:from>
    <xdr:to>
      <xdr:col>22</xdr:col>
      <xdr:colOff>525780</xdr:colOff>
      <xdr:row>1</xdr:row>
      <xdr:rowOff>106680</xdr:rowOff>
    </xdr:to>
    <xdr:sp macro="" textlink="">
      <xdr:nvSpPr>
        <xdr:cNvPr id="36" name="Rectangle: Rounded Corners 35">
          <a:extLst>
            <a:ext uri="{FF2B5EF4-FFF2-40B4-BE49-F238E27FC236}">
              <a16:creationId xmlns:a16="http://schemas.microsoft.com/office/drawing/2014/main" id="{6AC463DA-B456-41E4-868E-7C61E7F402D4}"/>
            </a:ext>
          </a:extLst>
        </xdr:cNvPr>
        <xdr:cNvSpPr/>
      </xdr:nvSpPr>
      <xdr:spPr>
        <a:xfrm rot="5400000">
          <a:off x="6768465" y="-6665595"/>
          <a:ext cx="468630" cy="13868400"/>
        </a:xfrm>
        <a:prstGeom prst="roundRect">
          <a:avLst>
            <a:gd name="adj" fmla="val 9229"/>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dddddm</a:t>
          </a:r>
        </a:p>
      </xdr:txBody>
    </xdr:sp>
    <xdr:clientData/>
  </xdr:twoCellAnchor>
  <xdr:twoCellAnchor>
    <xdr:from>
      <xdr:col>3</xdr:col>
      <xdr:colOff>480060</xdr:colOff>
      <xdr:row>2</xdr:row>
      <xdr:rowOff>0</xdr:rowOff>
    </xdr:from>
    <xdr:to>
      <xdr:col>7</xdr:col>
      <xdr:colOff>129540</xdr:colOff>
      <xdr:row>6</xdr:row>
      <xdr:rowOff>38100</xdr:rowOff>
    </xdr:to>
    <xdr:sp macro="" textlink="">
      <xdr:nvSpPr>
        <xdr:cNvPr id="37" name="Rectangle: Rounded Corners 36">
          <a:extLst>
            <a:ext uri="{FF2B5EF4-FFF2-40B4-BE49-F238E27FC236}">
              <a16:creationId xmlns:a16="http://schemas.microsoft.com/office/drawing/2014/main" id="{700911B2-264D-149D-B135-801950E1CA24}"/>
            </a:ext>
          </a:extLst>
        </xdr:cNvPr>
        <xdr:cNvSpPr/>
      </xdr:nvSpPr>
      <xdr:spPr>
        <a:xfrm>
          <a:off x="2308860" y="632460"/>
          <a:ext cx="2087880" cy="876300"/>
        </a:xfrm>
        <a:prstGeom prst="roundRect">
          <a:avLst>
            <a:gd name="adj" fmla="val 6373"/>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chemeClr val="tx1"/>
            </a:solidFill>
          </a:endParaRPr>
        </a:p>
      </xdr:txBody>
    </xdr:sp>
    <xdr:clientData/>
  </xdr:twoCellAnchor>
  <xdr:twoCellAnchor>
    <xdr:from>
      <xdr:col>3</xdr:col>
      <xdr:colOff>373380</xdr:colOff>
      <xdr:row>6</xdr:row>
      <xdr:rowOff>121920</xdr:rowOff>
    </xdr:from>
    <xdr:to>
      <xdr:col>9</xdr:col>
      <xdr:colOff>541020</xdr:colOff>
      <xdr:row>20</xdr:row>
      <xdr:rowOff>0</xdr:rowOff>
    </xdr:to>
    <xdr:sp macro="" textlink="">
      <xdr:nvSpPr>
        <xdr:cNvPr id="54" name="Rectangle: Rounded Corners 53">
          <a:extLst>
            <a:ext uri="{FF2B5EF4-FFF2-40B4-BE49-F238E27FC236}">
              <a16:creationId xmlns:a16="http://schemas.microsoft.com/office/drawing/2014/main" id="{F3A4D708-EB3F-37D9-A6F2-7DB9E69303DF}"/>
            </a:ext>
          </a:extLst>
        </xdr:cNvPr>
        <xdr:cNvSpPr/>
      </xdr:nvSpPr>
      <xdr:spPr>
        <a:xfrm>
          <a:off x="2202180" y="1592580"/>
          <a:ext cx="3825240" cy="2468880"/>
        </a:xfrm>
        <a:prstGeom prst="roundRect">
          <a:avLst>
            <a:gd name="adj" fmla="val 3656"/>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563880</xdr:colOff>
      <xdr:row>0</xdr:row>
      <xdr:rowOff>137160</xdr:rowOff>
    </xdr:from>
    <xdr:to>
      <xdr:col>8</xdr:col>
      <xdr:colOff>350520</xdr:colOff>
      <xdr:row>1</xdr:row>
      <xdr:rowOff>38100</xdr:rowOff>
    </xdr:to>
    <xdr:sp macro="" textlink="">
      <xdr:nvSpPr>
        <xdr:cNvPr id="72" name="TextBox 71">
          <a:extLst>
            <a:ext uri="{FF2B5EF4-FFF2-40B4-BE49-F238E27FC236}">
              <a16:creationId xmlns:a16="http://schemas.microsoft.com/office/drawing/2014/main" id="{C7723BB6-7B17-2583-0CA4-AF6EBF0E4DE0}"/>
            </a:ext>
          </a:extLst>
        </xdr:cNvPr>
        <xdr:cNvSpPr txBox="1"/>
      </xdr:nvSpPr>
      <xdr:spPr>
        <a:xfrm>
          <a:off x="563880" y="137160"/>
          <a:ext cx="4663440" cy="2971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ln>
                <a:noFill/>
              </a:ln>
              <a:solidFill>
                <a:schemeClr val="tx2">
                  <a:lumMod val="75000"/>
                  <a:lumOff val="25000"/>
                </a:schemeClr>
              </a:solidFill>
              <a:latin typeface="Congenial Black" panose="02000503040000020004" pitchFamily="2" charset="0"/>
              <a:cs typeface="Aharoni" panose="020F0502020204030204" pitchFamily="2" charset="-79"/>
            </a:rPr>
            <a:t>SALES PERFORMANCE DASHBOARD</a:t>
          </a:r>
        </a:p>
      </xdr:txBody>
    </xdr:sp>
    <xdr:clientData/>
  </xdr:twoCellAnchor>
  <xdr:twoCellAnchor editAs="oneCell">
    <xdr:from>
      <xdr:col>0</xdr:col>
      <xdr:colOff>320040</xdr:colOff>
      <xdr:row>0</xdr:row>
      <xdr:rowOff>53340</xdr:rowOff>
    </xdr:from>
    <xdr:to>
      <xdr:col>1</xdr:col>
      <xdr:colOff>129540</xdr:colOff>
      <xdr:row>1</xdr:row>
      <xdr:rowOff>76200</xdr:rowOff>
    </xdr:to>
    <xdr:pic>
      <xdr:nvPicPr>
        <xdr:cNvPr id="74" name="Graphic 73" descr="Presentation with bar chart with solid fill">
          <a:extLst>
            <a:ext uri="{FF2B5EF4-FFF2-40B4-BE49-F238E27FC236}">
              <a16:creationId xmlns:a16="http://schemas.microsoft.com/office/drawing/2014/main" id="{A1738154-7C5F-F4DD-F803-125871E7217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20040" y="53340"/>
          <a:ext cx="419100" cy="419100"/>
        </a:xfrm>
        <a:prstGeom prst="rect">
          <a:avLst/>
        </a:prstGeom>
      </xdr:spPr>
    </xdr:pic>
    <xdr:clientData/>
  </xdr:twoCellAnchor>
  <xdr:twoCellAnchor editAs="oneCell">
    <xdr:from>
      <xdr:col>0</xdr:col>
      <xdr:colOff>167640</xdr:colOff>
      <xdr:row>2</xdr:row>
      <xdr:rowOff>45720</xdr:rowOff>
    </xdr:from>
    <xdr:to>
      <xdr:col>3</xdr:col>
      <xdr:colOff>68580</xdr:colOff>
      <xdr:row>12</xdr:row>
      <xdr:rowOff>68580</xdr:rowOff>
    </xdr:to>
    <mc:AlternateContent xmlns:mc="http://schemas.openxmlformats.org/markup-compatibility/2006" xmlns:a14="http://schemas.microsoft.com/office/drawing/2010/main">
      <mc:Choice Requires="a14">
        <xdr:graphicFrame macro="">
          <xdr:nvGraphicFramePr>
            <xdr:cNvPr id="75" name="Region">
              <a:extLst>
                <a:ext uri="{FF2B5EF4-FFF2-40B4-BE49-F238E27FC236}">
                  <a16:creationId xmlns:a16="http://schemas.microsoft.com/office/drawing/2014/main" id="{3FD174C1-70BD-45EC-BB2D-FA65CC7A728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7640" y="675536"/>
              <a:ext cx="1720409" cy="20133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12</xdr:row>
      <xdr:rowOff>144781</xdr:rowOff>
    </xdr:from>
    <xdr:to>
      <xdr:col>3</xdr:col>
      <xdr:colOff>70440</xdr:colOff>
      <xdr:row>22</xdr:row>
      <xdr:rowOff>175261</xdr:rowOff>
    </xdr:to>
    <mc:AlternateContent xmlns:mc="http://schemas.openxmlformats.org/markup-compatibility/2006" xmlns:a14="http://schemas.microsoft.com/office/drawing/2010/main">
      <mc:Choice Requires="a14">
        <xdr:graphicFrame macro="">
          <xdr:nvGraphicFramePr>
            <xdr:cNvPr id="76" name="Category">
              <a:extLst>
                <a:ext uri="{FF2B5EF4-FFF2-40B4-BE49-F238E27FC236}">
                  <a16:creationId xmlns:a16="http://schemas.microsoft.com/office/drawing/2014/main" id="{61A26C57-008A-46CC-B4EC-29F31E118C7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7640" y="2765128"/>
              <a:ext cx="1722269" cy="18810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167640</xdr:colOff>
      <xdr:row>24</xdr:row>
      <xdr:rowOff>7621</xdr:rowOff>
    </xdr:from>
    <xdr:to>
      <xdr:col>3</xdr:col>
      <xdr:colOff>70440</xdr:colOff>
      <xdr:row>32</xdr:row>
      <xdr:rowOff>129541</xdr:rowOff>
    </xdr:to>
    <mc:AlternateContent xmlns:mc="http://schemas.openxmlformats.org/markup-compatibility/2006" xmlns:a14="http://schemas.microsoft.com/office/drawing/2010/main">
      <mc:Choice Requires="a14">
        <xdr:graphicFrame macro="">
          <xdr:nvGraphicFramePr>
            <xdr:cNvPr id="77" name="Ship Mode">
              <a:extLst>
                <a:ext uri="{FF2B5EF4-FFF2-40B4-BE49-F238E27FC236}">
                  <a16:creationId xmlns:a16="http://schemas.microsoft.com/office/drawing/2014/main" id="{CFB50471-3434-4B0C-AA29-BD22C448AA55}"/>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mlns="">
        <xdr:sp macro="" textlink="">
          <xdr:nvSpPr>
            <xdr:cNvPr id="0" name=""/>
            <xdr:cNvSpPr>
              <a:spLocks noTextEdit="1"/>
            </xdr:cNvSpPr>
          </xdr:nvSpPr>
          <xdr:spPr>
            <a:xfrm>
              <a:off x="167640" y="4851764"/>
              <a:ext cx="1722269" cy="16148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571500</xdr:colOff>
      <xdr:row>2</xdr:row>
      <xdr:rowOff>99060</xdr:rowOff>
    </xdr:from>
    <xdr:to>
      <xdr:col>7</xdr:col>
      <xdr:colOff>91440</xdr:colOff>
      <xdr:row>5</xdr:row>
      <xdr:rowOff>144780</xdr:rowOff>
    </xdr:to>
    <xdr:grpSp>
      <xdr:nvGrpSpPr>
        <xdr:cNvPr id="89" name="Group 88">
          <a:extLst>
            <a:ext uri="{FF2B5EF4-FFF2-40B4-BE49-F238E27FC236}">
              <a16:creationId xmlns:a16="http://schemas.microsoft.com/office/drawing/2014/main" id="{B7B59E20-8AD7-A713-DBA4-ADE7098B0463}"/>
            </a:ext>
          </a:extLst>
        </xdr:cNvPr>
        <xdr:cNvGrpSpPr/>
      </xdr:nvGrpSpPr>
      <xdr:grpSpPr>
        <a:xfrm>
          <a:off x="2390969" y="728876"/>
          <a:ext cx="1945900" cy="652210"/>
          <a:chOff x="2255520" y="731520"/>
          <a:chExt cx="1958340" cy="655320"/>
        </a:xfrm>
      </xdr:grpSpPr>
      <xdr:sp macro="" textlink="">
        <xdr:nvSpPr>
          <xdr:cNvPr id="81" name="TextBox 80">
            <a:extLst>
              <a:ext uri="{FF2B5EF4-FFF2-40B4-BE49-F238E27FC236}">
                <a16:creationId xmlns:a16="http://schemas.microsoft.com/office/drawing/2014/main" id="{3CC3EA06-76D2-C3BF-FE9C-A0D9C2888415}"/>
              </a:ext>
            </a:extLst>
          </xdr:cNvPr>
          <xdr:cNvSpPr txBox="1"/>
        </xdr:nvSpPr>
        <xdr:spPr>
          <a:xfrm>
            <a:off x="2255520" y="731520"/>
            <a:ext cx="195834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Total Sales</a:t>
            </a:r>
            <a:endParaRPr lang="en-IN" sz="1400">
              <a:effectLst/>
            </a:endParaRPr>
          </a:p>
          <a:p>
            <a:endParaRPr lang="en-IN" sz="1100"/>
          </a:p>
        </xdr:txBody>
      </xdr:sp>
      <xdr:sp macro="" textlink="Analysis!B2">
        <xdr:nvSpPr>
          <xdr:cNvPr id="82" name="TextBox 81">
            <a:extLst>
              <a:ext uri="{FF2B5EF4-FFF2-40B4-BE49-F238E27FC236}">
                <a16:creationId xmlns:a16="http://schemas.microsoft.com/office/drawing/2014/main" id="{B0657EC8-688B-9E46-979B-3BD289C10847}"/>
              </a:ext>
            </a:extLst>
          </xdr:cNvPr>
          <xdr:cNvSpPr txBox="1"/>
        </xdr:nvSpPr>
        <xdr:spPr>
          <a:xfrm>
            <a:off x="2438400" y="998220"/>
            <a:ext cx="1737360" cy="3886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D3F0006-0C5B-48CC-AC2C-85CB525D1932}" type="TxLink">
              <a:rPr lang="en-US" sz="2000" b="1" i="0" u="none" strike="noStrike">
                <a:solidFill>
                  <a:srgbClr val="000000"/>
                </a:solidFill>
                <a:latin typeface="Aptos Narrow"/>
              </a:rPr>
              <a:pPr/>
              <a:t> ₹ 90,202.61 </a:t>
            </a:fld>
            <a:endParaRPr lang="en-IN" sz="4000" b="1"/>
          </a:p>
        </xdr:txBody>
      </xdr:sp>
    </xdr:grpSp>
    <xdr:clientData/>
  </xdr:twoCellAnchor>
  <xdr:twoCellAnchor>
    <xdr:from>
      <xdr:col>7</xdr:col>
      <xdr:colOff>342900</xdr:colOff>
      <xdr:row>1</xdr:row>
      <xdr:rowOff>220980</xdr:rowOff>
    </xdr:from>
    <xdr:to>
      <xdr:col>10</xdr:col>
      <xdr:colOff>601980</xdr:colOff>
      <xdr:row>6</xdr:row>
      <xdr:rowOff>22860</xdr:rowOff>
    </xdr:to>
    <xdr:sp macro="" textlink="">
      <xdr:nvSpPr>
        <xdr:cNvPr id="83" name="Rectangle: Rounded Corners 82">
          <a:extLst>
            <a:ext uri="{FF2B5EF4-FFF2-40B4-BE49-F238E27FC236}">
              <a16:creationId xmlns:a16="http://schemas.microsoft.com/office/drawing/2014/main" id="{76348264-E258-40E6-9703-5404F16CA58E}"/>
            </a:ext>
          </a:extLst>
        </xdr:cNvPr>
        <xdr:cNvSpPr/>
      </xdr:nvSpPr>
      <xdr:spPr>
        <a:xfrm>
          <a:off x="4610100" y="617220"/>
          <a:ext cx="2087880" cy="876300"/>
        </a:xfrm>
        <a:prstGeom prst="roundRect">
          <a:avLst>
            <a:gd name="adj" fmla="val 6373"/>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chemeClr val="tx1"/>
            </a:solidFill>
          </a:endParaRPr>
        </a:p>
      </xdr:txBody>
    </xdr:sp>
    <xdr:clientData/>
  </xdr:twoCellAnchor>
  <xdr:twoCellAnchor>
    <xdr:from>
      <xdr:col>11</xdr:col>
      <xdr:colOff>213360</xdr:colOff>
      <xdr:row>1</xdr:row>
      <xdr:rowOff>220980</xdr:rowOff>
    </xdr:from>
    <xdr:to>
      <xdr:col>14</xdr:col>
      <xdr:colOff>472440</xdr:colOff>
      <xdr:row>6</xdr:row>
      <xdr:rowOff>22860</xdr:rowOff>
    </xdr:to>
    <xdr:sp macro="" textlink="">
      <xdr:nvSpPr>
        <xdr:cNvPr id="84" name="Rectangle: Rounded Corners 83">
          <a:extLst>
            <a:ext uri="{FF2B5EF4-FFF2-40B4-BE49-F238E27FC236}">
              <a16:creationId xmlns:a16="http://schemas.microsoft.com/office/drawing/2014/main" id="{8F4CA183-0F96-4576-B7AB-1F66E2CB6ED6}"/>
            </a:ext>
          </a:extLst>
        </xdr:cNvPr>
        <xdr:cNvSpPr/>
      </xdr:nvSpPr>
      <xdr:spPr>
        <a:xfrm>
          <a:off x="6918960" y="617220"/>
          <a:ext cx="2087880" cy="876300"/>
        </a:xfrm>
        <a:prstGeom prst="roundRect">
          <a:avLst>
            <a:gd name="adj" fmla="val 6373"/>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chemeClr val="tx1"/>
            </a:solidFill>
          </a:endParaRPr>
        </a:p>
      </xdr:txBody>
    </xdr:sp>
    <xdr:clientData/>
  </xdr:twoCellAnchor>
  <xdr:twoCellAnchor>
    <xdr:from>
      <xdr:col>15</xdr:col>
      <xdr:colOff>121920</xdr:colOff>
      <xdr:row>1</xdr:row>
      <xdr:rowOff>228600</xdr:rowOff>
    </xdr:from>
    <xdr:to>
      <xdr:col>18</xdr:col>
      <xdr:colOff>381000</xdr:colOff>
      <xdr:row>6</xdr:row>
      <xdr:rowOff>30480</xdr:rowOff>
    </xdr:to>
    <xdr:sp macro="" textlink="">
      <xdr:nvSpPr>
        <xdr:cNvPr id="85" name="Rectangle: Rounded Corners 84">
          <a:extLst>
            <a:ext uri="{FF2B5EF4-FFF2-40B4-BE49-F238E27FC236}">
              <a16:creationId xmlns:a16="http://schemas.microsoft.com/office/drawing/2014/main" id="{5BEA6822-B114-497F-87B5-FD1287784846}"/>
            </a:ext>
          </a:extLst>
        </xdr:cNvPr>
        <xdr:cNvSpPr/>
      </xdr:nvSpPr>
      <xdr:spPr>
        <a:xfrm>
          <a:off x="9265920" y="624840"/>
          <a:ext cx="2087880" cy="876300"/>
        </a:xfrm>
        <a:prstGeom prst="roundRect">
          <a:avLst>
            <a:gd name="adj" fmla="val 6373"/>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chemeClr val="tx1"/>
            </a:solidFill>
          </a:endParaRPr>
        </a:p>
      </xdr:txBody>
    </xdr:sp>
    <xdr:clientData/>
  </xdr:twoCellAnchor>
  <xdr:twoCellAnchor>
    <xdr:from>
      <xdr:col>19</xdr:col>
      <xdr:colOff>7620</xdr:colOff>
      <xdr:row>1</xdr:row>
      <xdr:rowOff>213360</xdr:rowOff>
    </xdr:from>
    <xdr:to>
      <xdr:col>22</xdr:col>
      <xdr:colOff>266700</xdr:colOff>
      <xdr:row>6</xdr:row>
      <xdr:rowOff>15240</xdr:rowOff>
    </xdr:to>
    <xdr:sp macro="" textlink="">
      <xdr:nvSpPr>
        <xdr:cNvPr id="86" name="Rectangle: Rounded Corners 85">
          <a:extLst>
            <a:ext uri="{FF2B5EF4-FFF2-40B4-BE49-F238E27FC236}">
              <a16:creationId xmlns:a16="http://schemas.microsoft.com/office/drawing/2014/main" id="{F60E8B6D-B0AD-4A9F-886D-96BD47287F36}"/>
            </a:ext>
          </a:extLst>
        </xdr:cNvPr>
        <xdr:cNvSpPr/>
      </xdr:nvSpPr>
      <xdr:spPr>
        <a:xfrm>
          <a:off x="11590020" y="609600"/>
          <a:ext cx="2087880" cy="876300"/>
        </a:xfrm>
        <a:prstGeom prst="roundRect">
          <a:avLst>
            <a:gd name="adj" fmla="val 6373"/>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600" b="1">
            <a:solidFill>
              <a:schemeClr val="tx1"/>
            </a:solidFill>
          </a:endParaRPr>
        </a:p>
      </xdr:txBody>
    </xdr:sp>
    <xdr:clientData/>
  </xdr:twoCellAnchor>
  <xdr:twoCellAnchor>
    <xdr:from>
      <xdr:col>7</xdr:col>
      <xdr:colOff>381000</xdr:colOff>
      <xdr:row>2</xdr:row>
      <xdr:rowOff>106680</xdr:rowOff>
    </xdr:from>
    <xdr:to>
      <xdr:col>10</xdr:col>
      <xdr:colOff>579120</xdr:colOff>
      <xdr:row>5</xdr:row>
      <xdr:rowOff>175260</xdr:rowOff>
    </xdr:to>
    <xdr:grpSp>
      <xdr:nvGrpSpPr>
        <xdr:cNvPr id="90" name="Group 89">
          <a:extLst>
            <a:ext uri="{FF2B5EF4-FFF2-40B4-BE49-F238E27FC236}">
              <a16:creationId xmlns:a16="http://schemas.microsoft.com/office/drawing/2014/main" id="{2E46ECF0-DBE4-89AD-A96E-428733C1E834}"/>
            </a:ext>
          </a:extLst>
        </xdr:cNvPr>
        <xdr:cNvGrpSpPr/>
      </xdr:nvGrpSpPr>
      <xdr:grpSpPr>
        <a:xfrm>
          <a:off x="4626429" y="736496"/>
          <a:ext cx="2017589" cy="675070"/>
          <a:chOff x="4503420" y="739140"/>
          <a:chExt cx="2026920" cy="678180"/>
        </a:xfrm>
      </xdr:grpSpPr>
      <xdr:sp macro="" textlink="">
        <xdr:nvSpPr>
          <xdr:cNvPr id="87" name="TextBox 86">
            <a:extLst>
              <a:ext uri="{FF2B5EF4-FFF2-40B4-BE49-F238E27FC236}">
                <a16:creationId xmlns:a16="http://schemas.microsoft.com/office/drawing/2014/main" id="{D2A613CB-0427-4656-8296-16B84A75CC5A}"/>
              </a:ext>
            </a:extLst>
          </xdr:cNvPr>
          <xdr:cNvSpPr txBox="1"/>
        </xdr:nvSpPr>
        <xdr:spPr>
          <a:xfrm>
            <a:off x="4503420" y="739140"/>
            <a:ext cx="195834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Total Profit</a:t>
            </a:r>
            <a:endParaRPr lang="en-IN" sz="1400">
              <a:effectLst/>
            </a:endParaRPr>
          </a:p>
          <a:p>
            <a:pPr algn="ctr"/>
            <a:endParaRPr lang="en-IN" sz="1100"/>
          </a:p>
        </xdr:txBody>
      </xdr:sp>
      <xdr:sp macro="" textlink="Analysis!B3">
        <xdr:nvSpPr>
          <xdr:cNvPr id="88" name="TextBox 87">
            <a:extLst>
              <a:ext uri="{FF2B5EF4-FFF2-40B4-BE49-F238E27FC236}">
                <a16:creationId xmlns:a16="http://schemas.microsoft.com/office/drawing/2014/main" id="{372719F1-2870-42D1-ABD3-3A0D38F0469B}"/>
              </a:ext>
            </a:extLst>
          </xdr:cNvPr>
          <xdr:cNvSpPr txBox="1"/>
        </xdr:nvSpPr>
        <xdr:spPr>
          <a:xfrm>
            <a:off x="4724400" y="1005840"/>
            <a:ext cx="180594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26D18E-F717-4D2E-9A25-80A535A3576E}" type="TxLink">
              <a:rPr lang="en-US" sz="2000" b="1" i="0" u="none" strike="noStrike">
                <a:solidFill>
                  <a:srgbClr val="000000"/>
                </a:solidFill>
                <a:latin typeface="Aptos Narrow"/>
              </a:rPr>
              <a:pPr/>
              <a:t> ₹ 28,148.13 </a:t>
            </a:fld>
            <a:endParaRPr lang="en-US" sz="2000" b="1" i="0" u="none" strike="noStrike">
              <a:solidFill>
                <a:srgbClr val="000000"/>
              </a:solidFill>
              <a:latin typeface="Aptos Narrow"/>
            </a:endParaRPr>
          </a:p>
        </xdr:txBody>
      </xdr:sp>
    </xdr:grpSp>
    <xdr:clientData/>
  </xdr:twoCellAnchor>
  <xdr:twoCellAnchor>
    <xdr:from>
      <xdr:col>11</xdr:col>
      <xdr:colOff>281940</xdr:colOff>
      <xdr:row>2</xdr:row>
      <xdr:rowOff>91440</xdr:rowOff>
    </xdr:from>
    <xdr:to>
      <xdr:col>14</xdr:col>
      <xdr:colOff>411480</xdr:colOff>
      <xdr:row>5</xdr:row>
      <xdr:rowOff>160020</xdr:rowOff>
    </xdr:to>
    <xdr:grpSp>
      <xdr:nvGrpSpPr>
        <xdr:cNvPr id="91" name="Group 90">
          <a:extLst>
            <a:ext uri="{FF2B5EF4-FFF2-40B4-BE49-F238E27FC236}">
              <a16:creationId xmlns:a16="http://schemas.microsoft.com/office/drawing/2014/main" id="{97EA48D9-5EAC-4E31-A242-C35E9292E069}"/>
            </a:ext>
          </a:extLst>
        </xdr:cNvPr>
        <xdr:cNvGrpSpPr/>
      </xdr:nvGrpSpPr>
      <xdr:grpSpPr>
        <a:xfrm>
          <a:off x="6953328" y="721256"/>
          <a:ext cx="1949009" cy="675070"/>
          <a:chOff x="4503420" y="739140"/>
          <a:chExt cx="1958340" cy="678180"/>
        </a:xfrm>
      </xdr:grpSpPr>
      <xdr:sp macro="" textlink="">
        <xdr:nvSpPr>
          <xdr:cNvPr id="92" name="TextBox 91">
            <a:extLst>
              <a:ext uri="{FF2B5EF4-FFF2-40B4-BE49-F238E27FC236}">
                <a16:creationId xmlns:a16="http://schemas.microsoft.com/office/drawing/2014/main" id="{E49FECDC-8AA0-59DE-747D-9D8E89EACFD2}"/>
              </a:ext>
            </a:extLst>
          </xdr:cNvPr>
          <xdr:cNvSpPr txBox="1"/>
        </xdr:nvSpPr>
        <xdr:spPr>
          <a:xfrm>
            <a:off x="4503420" y="739140"/>
            <a:ext cx="195834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Total Orders</a:t>
            </a:r>
            <a:endParaRPr lang="en-IN" sz="1400">
              <a:effectLst/>
            </a:endParaRPr>
          </a:p>
          <a:p>
            <a:pPr algn="ctr"/>
            <a:endParaRPr lang="en-IN" sz="1100"/>
          </a:p>
        </xdr:txBody>
      </xdr:sp>
      <xdr:sp macro="" textlink="Analysis!B4">
        <xdr:nvSpPr>
          <xdr:cNvPr id="93" name="TextBox 92">
            <a:extLst>
              <a:ext uri="{FF2B5EF4-FFF2-40B4-BE49-F238E27FC236}">
                <a16:creationId xmlns:a16="http://schemas.microsoft.com/office/drawing/2014/main" id="{EA08E188-8A9B-9166-FCEC-0490D3D737FB}"/>
              </a:ext>
            </a:extLst>
          </xdr:cNvPr>
          <xdr:cNvSpPr txBox="1"/>
        </xdr:nvSpPr>
        <xdr:spPr>
          <a:xfrm>
            <a:off x="4549140" y="1005840"/>
            <a:ext cx="180594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5693A4-EC56-4A25-9DD4-B916CB577A2E}" type="TxLink">
              <a:rPr lang="en-US" sz="2000" b="1" i="0" u="none" strike="noStrike">
                <a:solidFill>
                  <a:srgbClr val="000000"/>
                </a:solidFill>
                <a:latin typeface="Aptos Narrow"/>
              </a:rPr>
              <a:pPr algn="ctr"/>
              <a:t>1000</a:t>
            </a:fld>
            <a:endParaRPr lang="en-US" sz="4400" b="1" i="0" u="none" strike="noStrike">
              <a:solidFill>
                <a:srgbClr val="000000"/>
              </a:solidFill>
              <a:latin typeface="Aptos Narrow"/>
            </a:endParaRPr>
          </a:p>
        </xdr:txBody>
      </xdr:sp>
    </xdr:grpSp>
    <xdr:clientData/>
  </xdr:twoCellAnchor>
  <xdr:twoCellAnchor>
    <xdr:from>
      <xdr:col>15</xdr:col>
      <xdr:colOff>152400</xdr:colOff>
      <xdr:row>2</xdr:row>
      <xdr:rowOff>68580</xdr:rowOff>
    </xdr:from>
    <xdr:to>
      <xdr:col>18</xdr:col>
      <xdr:colOff>281940</xdr:colOff>
      <xdr:row>5</xdr:row>
      <xdr:rowOff>137160</xdr:rowOff>
    </xdr:to>
    <xdr:grpSp>
      <xdr:nvGrpSpPr>
        <xdr:cNvPr id="94" name="Group 93">
          <a:extLst>
            <a:ext uri="{FF2B5EF4-FFF2-40B4-BE49-F238E27FC236}">
              <a16:creationId xmlns:a16="http://schemas.microsoft.com/office/drawing/2014/main" id="{F75BE711-EBA2-4380-88CD-05D469D92B7C}"/>
            </a:ext>
          </a:extLst>
        </xdr:cNvPr>
        <xdr:cNvGrpSpPr/>
      </xdr:nvGrpSpPr>
      <xdr:grpSpPr>
        <a:xfrm>
          <a:off x="9249747" y="698396"/>
          <a:ext cx="1949009" cy="675070"/>
          <a:chOff x="4503420" y="739140"/>
          <a:chExt cx="1958340" cy="678180"/>
        </a:xfrm>
      </xdr:grpSpPr>
      <xdr:sp macro="" textlink="">
        <xdr:nvSpPr>
          <xdr:cNvPr id="95" name="TextBox 94">
            <a:extLst>
              <a:ext uri="{FF2B5EF4-FFF2-40B4-BE49-F238E27FC236}">
                <a16:creationId xmlns:a16="http://schemas.microsoft.com/office/drawing/2014/main" id="{F3063E88-4FE2-61EF-9E21-B4C29C2798D5}"/>
              </a:ext>
            </a:extLst>
          </xdr:cNvPr>
          <xdr:cNvSpPr txBox="1"/>
        </xdr:nvSpPr>
        <xdr:spPr>
          <a:xfrm>
            <a:off x="4503420" y="739140"/>
            <a:ext cx="195834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 Profit Margin</a:t>
            </a:r>
            <a:endParaRPr lang="en-IN" sz="1400">
              <a:effectLst/>
            </a:endParaRPr>
          </a:p>
          <a:p>
            <a:pPr algn="ctr"/>
            <a:endParaRPr lang="en-IN" sz="1100"/>
          </a:p>
        </xdr:txBody>
      </xdr:sp>
      <xdr:sp macro="" textlink="Analysis!B9">
        <xdr:nvSpPr>
          <xdr:cNvPr id="96" name="TextBox 95">
            <a:extLst>
              <a:ext uri="{FF2B5EF4-FFF2-40B4-BE49-F238E27FC236}">
                <a16:creationId xmlns:a16="http://schemas.microsoft.com/office/drawing/2014/main" id="{EBDA45EA-20B5-C5FF-5FF6-B46CA5A19E07}"/>
              </a:ext>
            </a:extLst>
          </xdr:cNvPr>
          <xdr:cNvSpPr txBox="1"/>
        </xdr:nvSpPr>
        <xdr:spPr>
          <a:xfrm>
            <a:off x="4625340" y="1005840"/>
            <a:ext cx="180594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D9ADAFD-8A6D-49A8-AF37-635F12270F6A}" type="TxLink">
              <a:rPr lang="en-US" sz="2000" b="1" i="0" u="none" strike="noStrike">
                <a:solidFill>
                  <a:srgbClr val="000000"/>
                </a:solidFill>
                <a:latin typeface="Aptos Narrow"/>
              </a:rPr>
              <a:pPr algn="ctr"/>
              <a:t>31%</a:t>
            </a:fld>
            <a:endParaRPr lang="en-US" sz="4400" b="1" i="0" u="none" strike="noStrike">
              <a:solidFill>
                <a:srgbClr val="000000"/>
              </a:solidFill>
              <a:latin typeface="Aptos Narrow"/>
            </a:endParaRPr>
          </a:p>
        </xdr:txBody>
      </xdr:sp>
    </xdr:grpSp>
    <xdr:clientData/>
  </xdr:twoCellAnchor>
  <xdr:twoCellAnchor>
    <xdr:from>
      <xdr:col>19</xdr:col>
      <xdr:colOff>53340</xdr:colOff>
      <xdr:row>2</xdr:row>
      <xdr:rowOff>53340</xdr:rowOff>
    </xdr:from>
    <xdr:to>
      <xdr:col>22</xdr:col>
      <xdr:colOff>182880</xdr:colOff>
      <xdr:row>5</xdr:row>
      <xdr:rowOff>121920</xdr:rowOff>
    </xdr:to>
    <xdr:grpSp>
      <xdr:nvGrpSpPr>
        <xdr:cNvPr id="97" name="Group 96">
          <a:extLst>
            <a:ext uri="{FF2B5EF4-FFF2-40B4-BE49-F238E27FC236}">
              <a16:creationId xmlns:a16="http://schemas.microsoft.com/office/drawing/2014/main" id="{427D66F4-C7FE-4D7A-8F00-75A42C1A2F75}"/>
            </a:ext>
          </a:extLst>
        </xdr:cNvPr>
        <xdr:cNvGrpSpPr/>
      </xdr:nvGrpSpPr>
      <xdr:grpSpPr>
        <a:xfrm>
          <a:off x="11576646" y="683156"/>
          <a:ext cx="1949010" cy="675070"/>
          <a:chOff x="4503420" y="739140"/>
          <a:chExt cx="1958340" cy="678180"/>
        </a:xfrm>
      </xdr:grpSpPr>
      <xdr:sp macro="" textlink="">
        <xdr:nvSpPr>
          <xdr:cNvPr id="98" name="TextBox 97">
            <a:extLst>
              <a:ext uri="{FF2B5EF4-FFF2-40B4-BE49-F238E27FC236}">
                <a16:creationId xmlns:a16="http://schemas.microsoft.com/office/drawing/2014/main" id="{A8DABE94-425F-8634-337E-32B939CD690A}"/>
              </a:ext>
            </a:extLst>
          </xdr:cNvPr>
          <xdr:cNvSpPr txBox="1"/>
        </xdr:nvSpPr>
        <xdr:spPr>
          <a:xfrm>
            <a:off x="4503420" y="739140"/>
            <a:ext cx="1958340" cy="3200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chemeClr val="dk1"/>
                </a:solidFill>
                <a:effectLst/>
                <a:latin typeface="+mn-lt"/>
                <a:ea typeface="+mn-ea"/>
                <a:cs typeface="+mn-cs"/>
              </a:rPr>
              <a:t>Highest</a:t>
            </a:r>
            <a:r>
              <a:rPr lang="en-IN" sz="1400" b="1" baseline="0">
                <a:solidFill>
                  <a:schemeClr val="dk1"/>
                </a:solidFill>
                <a:effectLst/>
                <a:latin typeface="+mn-lt"/>
                <a:ea typeface="+mn-ea"/>
                <a:cs typeface="+mn-cs"/>
              </a:rPr>
              <a:t> Sale</a:t>
            </a:r>
            <a:endParaRPr lang="en-IN" sz="1400">
              <a:effectLst/>
            </a:endParaRPr>
          </a:p>
          <a:p>
            <a:pPr algn="ctr"/>
            <a:endParaRPr lang="en-IN" sz="1100"/>
          </a:p>
        </xdr:txBody>
      </xdr:sp>
      <xdr:sp macro="" textlink="Analysis!B7">
        <xdr:nvSpPr>
          <xdr:cNvPr id="99" name="TextBox 98">
            <a:extLst>
              <a:ext uri="{FF2B5EF4-FFF2-40B4-BE49-F238E27FC236}">
                <a16:creationId xmlns:a16="http://schemas.microsoft.com/office/drawing/2014/main" id="{1D1F9F28-894A-4F9E-9DF3-A0991D3304D4}"/>
              </a:ext>
            </a:extLst>
          </xdr:cNvPr>
          <xdr:cNvSpPr txBox="1"/>
        </xdr:nvSpPr>
        <xdr:spPr>
          <a:xfrm>
            <a:off x="4625340" y="1005840"/>
            <a:ext cx="1805940" cy="4114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AF1977B-E525-4A5C-BCDF-CE2A5E811D7D}" type="TxLink">
              <a:rPr lang="en-US" sz="2000" b="1" i="0" u="none" strike="noStrike">
                <a:solidFill>
                  <a:srgbClr val="000000"/>
                </a:solidFill>
                <a:latin typeface="Aptos Narrow"/>
              </a:rPr>
              <a:pPr algn="ctr"/>
              <a:t>₹ 619.75</a:t>
            </a:fld>
            <a:endParaRPr lang="en-US" sz="4400" b="1" i="0" u="none" strike="noStrike">
              <a:solidFill>
                <a:srgbClr val="000000"/>
              </a:solidFill>
              <a:latin typeface="Aptos Narrow"/>
            </a:endParaRPr>
          </a:p>
        </xdr:txBody>
      </xdr:sp>
    </xdr:grpSp>
    <xdr:clientData/>
  </xdr:twoCellAnchor>
  <xdr:twoCellAnchor>
    <xdr:from>
      <xdr:col>10</xdr:col>
      <xdr:colOff>68580</xdr:colOff>
      <xdr:row>6</xdr:row>
      <xdr:rowOff>91440</xdr:rowOff>
    </xdr:from>
    <xdr:to>
      <xdr:col>16</xdr:col>
      <xdr:colOff>174894</xdr:colOff>
      <xdr:row>19</xdr:row>
      <xdr:rowOff>152400</xdr:rowOff>
    </xdr:to>
    <xdr:sp macro="" textlink="">
      <xdr:nvSpPr>
        <xdr:cNvPr id="101" name="Rectangle: Rounded Corners 100">
          <a:extLst>
            <a:ext uri="{FF2B5EF4-FFF2-40B4-BE49-F238E27FC236}">
              <a16:creationId xmlns:a16="http://schemas.microsoft.com/office/drawing/2014/main" id="{7269E4DE-B0E5-4ECB-8279-9E4A17A0624E}"/>
            </a:ext>
          </a:extLst>
        </xdr:cNvPr>
        <xdr:cNvSpPr/>
      </xdr:nvSpPr>
      <xdr:spPr>
        <a:xfrm>
          <a:off x="6164580" y="1562100"/>
          <a:ext cx="3763914" cy="2468880"/>
        </a:xfrm>
        <a:prstGeom prst="roundRect">
          <a:avLst>
            <a:gd name="adj" fmla="val 3656"/>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297179</xdr:colOff>
      <xdr:row>6</xdr:row>
      <xdr:rowOff>91440</xdr:rowOff>
    </xdr:from>
    <xdr:to>
      <xdr:col>22</xdr:col>
      <xdr:colOff>434156</xdr:colOff>
      <xdr:row>19</xdr:row>
      <xdr:rowOff>152400</xdr:rowOff>
    </xdr:to>
    <xdr:sp macro="" textlink="">
      <xdr:nvSpPr>
        <xdr:cNvPr id="105" name="Rectangle: Rounded Corners 104">
          <a:extLst>
            <a:ext uri="{FF2B5EF4-FFF2-40B4-BE49-F238E27FC236}">
              <a16:creationId xmlns:a16="http://schemas.microsoft.com/office/drawing/2014/main" id="{91458432-63D9-48E0-AAF8-384BB7D992CF}"/>
            </a:ext>
          </a:extLst>
        </xdr:cNvPr>
        <xdr:cNvSpPr/>
      </xdr:nvSpPr>
      <xdr:spPr>
        <a:xfrm>
          <a:off x="10050779" y="1562100"/>
          <a:ext cx="3794577" cy="2468880"/>
        </a:xfrm>
        <a:prstGeom prst="roundRect">
          <a:avLst>
            <a:gd name="adj" fmla="val 3656"/>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365760</xdr:colOff>
      <xdr:row>20</xdr:row>
      <xdr:rowOff>99060</xdr:rowOff>
    </xdr:from>
    <xdr:to>
      <xdr:col>9</xdr:col>
      <xdr:colOff>533400</xdr:colOff>
      <xdr:row>34</xdr:row>
      <xdr:rowOff>7620</xdr:rowOff>
    </xdr:to>
    <xdr:sp macro="" textlink="">
      <xdr:nvSpPr>
        <xdr:cNvPr id="108" name="Rectangle: Rounded Corners 107">
          <a:extLst>
            <a:ext uri="{FF2B5EF4-FFF2-40B4-BE49-F238E27FC236}">
              <a16:creationId xmlns:a16="http://schemas.microsoft.com/office/drawing/2014/main" id="{BE812129-4907-48D5-AA91-2A762ED51005}"/>
            </a:ext>
          </a:extLst>
        </xdr:cNvPr>
        <xdr:cNvSpPr/>
      </xdr:nvSpPr>
      <xdr:spPr>
        <a:xfrm>
          <a:off x="2194560" y="4160520"/>
          <a:ext cx="3825240" cy="2468880"/>
        </a:xfrm>
        <a:prstGeom prst="roundRect">
          <a:avLst>
            <a:gd name="adj" fmla="val 3656"/>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60960</xdr:colOff>
      <xdr:row>20</xdr:row>
      <xdr:rowOff>68580</xdr:rowOff>
    </xdr:from>
    <xdr:to>
      <xdr:col>16</xdr:col>
      <xdr:colOff>167274</xdr:colOff>
      <xdr:row>33</xdr:row>
      <xdr:rowOff>160020</xdr:rowOff>
    </xdr:to>
    <xdr:sp macro="" textlink="">
      <xdr:nvSpPr>
        <xdr:cNvPr id="109" name="Rectangle: Rounded Corners 108">
          <a:extLst>
            <a:ext uri="{FF2B5EF4-FFF2-40B4-BE49-F238E27FC236}">
              <a16:creationId xmlns:a16="http://schemas.microsoft.com/office/drawing/2014/main" id="{4E6CFDA2-D205-4B23-9D09-7FDEB091402C}"/>
            </a:ext>
          </a:extLst>
        </xdr:cNvPr>
        <xdr:cNvSpPr/>
      </xdr:nvSpPr>
      <xdr:spPr>
        <a:xfrm>
          <a:off x="6156960" y="4130040"/>
          <a:ext cx="3763914" cy="2468880"/>
        </a:xfrm>
        <a:prstGeom prst="roundRect">
          <a:avLst>
            <a:gd name="adj" fmla="val 3656"/>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289559</xdr:colOff>
      <xdr:row>20</xdr:row>
      <xdr:rowOff>68580</xdr:rowOff>
    </xdr:from>
    <xdr:to>
      <xdr:col>22</xdr:col>
      <xdr:colOff>426536</xdr:colOff>
      <xdr:row>33</xdr:row>
      <xdr:rowOff>160020</xdr:rowOff>
    </xdr:to>
    <xdr:sp macro="" textlink="">
      <xdr:nvSpPr>
        <xdr:cNvPr id="110" name="Rectangle: Rounded Corners 109">
          <a:extLst>
            <a:ext uri="{FF2B5EF4-FFF2-40B4-BE49-F238E27FC236}">
              <a16:creationId xmlns:a16="http://schemas.microsoft.com/office/drawing/2014/main" id="{40B88D7F-BB85-485C-AC76-7C611AD51DAD}"/>
            </a:ext>
          </a:extLst>
        </xdr:cNvPr>
        <xdr:cNvSpPr/>
      </xdr:nvSpPr>
      <xdr:spPr>
        <a:xfrm>
          <a:off x="10043159" y="4130040"/>
          <a:ext cx="3794577" cy="2468880"/>
        </a:xfrm>
        <a:prstGeom prst="roundRect">
          <a:avLst>
            <a:gd name="adj" fmla="val 3656"/>
          </a:avLst>
        </a:prstGeom>
        <a:solidFill>
          <a:schemeClr val="bg1"/>
        </a:solidFill>
        <a:ln>
          <a:solidFill>
            <a:schemeClr val="bg2">
              <a:lumMod val="9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129539</xdr:colOff>
      <xdr:row>21</xdr:row>
      <xdr:rowOff>106680</xdr:rowOff>
    </xdr:from>
    <xdr:to>
      <xdr:col>16</xdr:col>
      <xdr:colOff>143939</xdr:colOff>
      <xdr:row>33</xdr:row>
      <xdr:rowOff>68520</xdr:rowOff>
    </xdr:to>
    <mc:AlternateContent xmlns:mc="http://schemas.openxmlformats.org/markup-compatibility/2006">
      <mc:Choice xmlns:cx1="http://schemas.microsoft.com/office/drawing/2015/9/8/chartex" Requires="cx1">
        <xdr:graphicFrame macro="">
          <xdr:nvGraphicFramePr>
            <xdr:cNvPr id="113" name="Chart 112">
              <a:extLst>
                <a:ext uri="{FF2B5EF4-FFF2-40B4-BE49-F238E27FC236}">
                  <a16:creationId xmlns:a16="http://schemas.microsoft.com/office/drawing/2014/main" id="{D71A9553-7DB1-47E6-9616-E1457510D07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225539" y="4351020"/>
              <a:ext cx="3672000" cy="21564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10</xdr:col>
      <xdr:colOff>129540</xdr:colOff>
      <xdr:row>7</xdr:row>
      <xdr:rowOff>106680</xdr:rowOff>
    </xdr:from>
    <xdr:to>
      <xdr:col>16</xdr:col>
      <xdr:colOff>143940</xdr:colOff>
      <xdr:row>19</xdr:row>
      <xdr:rowOff>83760</xdr:rowOff>
    </xdr:to>
    <xdr:graphicFrame macro="">
      <xdr:nvGraphicFramePr>
        <xdr:cNvPr id="114" name="Chart 113">
          <a:extLst>
            <a:ext uri="{FF2B5EF4-FFF2-40B4-BE49-F238E27FC236}">
              <a16:creationId xmlns:a16="http://schemas.microsoft.com/office/drawing/2014/main" id="{F45372CD-3D2F-45B4-90E9-E3B0868006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381000</xdr:colOff>
      <xdr:row>22</xdr:row>
      <xdr:rowOff>15240</xdr:rowOff>
    </xdr:from>
    <xdr:to>
      <xdr:col>9</xdr:col>
      <xdr:colOff>457200</xdr:colOff>
      <xdr:row>33</xdr:row>
      <xdr:rowOff>159960</xdr:rowOff>
    </xdr:to>
    <xdr:graphicFrame macro="">
      <xdr:nvGraphicFramePr>
        <xdr:cNvPr id="115" name="Chart 114">
          <a:extLst>
            <a:ext uri="{FF2B5EF4-FFF2-40B4-BE49-F238E27FC236}">
              <a16:creationId xmlns:a16="http://schemas.microsoft.com/office/drawing/2014/main" id="{4E59C1A5-C628-4EE5-82B3-5369BE122D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411480</xdr:colOff>
      <xdr:row>7</xdr:row>
      <xdr:rowOff>167640</xdr:rowOff>
    </xdr:from>
    <xdr:to>
      <xdr:col>9</xdr:col>
      <xdr:colOff>425880</xdr:colOff>
      <xdr:row>19</xdr:row>
      <xdr:rowOff>144720</xdr:rowOff>
    </xdr:to>
    <xdr:graphicFrame macro="">
      <xdr:nvGraphicFramePr>
        <xdr:cNvPr id="116" name="Chart 115">
          <a:extLst>
            <a:ext uri="{FF2B5EF4-FFF2-40B4-BE49-F238E27FC236}">
              <a16:creationId xmlns:a16="http://schemas.microsoft.com/office/drawing/2014/main" id="{155F1B81-31C9-4ADA-AE72-D789CAE27C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350519</xdr:colOff>
      <xdr:row>7</xdr:row>
      <xdr:rowOff>137160</xdr:rowOff>
    </xdr:from>
    <xdr:to>
      <xdr:col>22</xdr:col>
      <xdr:colOff>364919</xdr:colOff>
      <xdr:row>19</xdr:row>
      <xdr:rowOff>114240</xdr:rowOff>
    </xdr:to>
    <xdr:graphicFrame macro="">
      <xdr:nvGraphicFramePr>
        <xdr:cNvPr id="117" name="Chart 116">
          <a:extLst>
            <a:ext uri="{FF2B5EF4-FFF2-40B4-BE49-F238E27FC236}">
              <a16:creationId xmlns:a16="http://schemas.microsoft.com/office/drawing/2014/main" id="{FD00DE92-F99F-434E-A764-991B70A77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342899</xdr:colOff>
      <xdr:row>21</xdr:row>
      <xdr:rowOff>144780</xdr:rowOff>
    </xdr:from>
    <xdr:to>
      <xdr:col>22</xdr:col>
      <xdr:colOff>357299</xdr:colOff>
      <xdr:row>33</xdr:row>
      <xdr:rowOff>106620</xdr:rowOff>
    </xdr:to>
    <xdr:graphicFrame macro="">
      <xdr:nvGraphicFramePr>
        <xdr:cNvPr id="118" name="Chart 117">
          <a:extLst>
            <a:ext uri="{FF2B5EF4-FFF2-40B4-BE49-F238E27FC236}">
              <a16:creationId xmlns:a16="http://schemas.microsoft.com/office/drawing/2014/main" id="{E36C9730-5867-4C22-B047-98105B30E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19</xdr:col>
      <xdr:colOff>83820</xdr:colOff>
      <xdr:row>0</xdr:row>
      <xdr:rowOff>137160</xdr:rowOff>
    </xdr:from>
    <xdr:to>
      <xdr:col>22</xdr:col>
      <xdr:colOff>464820</xdr:colOff>
      <xdr:row>1</xdr:row>
      <xdr:rowOff>0</xdr:rowOff>
    </xdr:to>
    <xdr:sp macro="" textlink="$O$43">
      <xdr:nvSpPr>
        <xdr:cNvPr id="119" name="TextBox 118">
          <a:extLst>
            <a:ext uri="{FF2B5EF4-FFF2-40B4-BE49-F238E27FC236}">
              <a16:creationId xmlns:a16="http://schemas.microsoft.com/office/drawing/2014/main" id="{80AFA4F8-E656-3645-44C7-BA7DD734494D}"/>
            </a:ext>
          </a:extLst>
        </xdr:cNvPr>
        <xdr:cNvSpPr txBox="1"/>
      </xdr:nvSpPr>
      <xdr:spPr>
        <a:xfrm>
          <a:off x="11666220" y="137160"/>
          <a:ext cx="2209800" cy="25908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ABE3196-7A39-4A0F-8A34-6A94C23947CE}" type="TxLink">
            <a:rPr lang="en-US" sz="1400" b="1" i="0" u="none" strike="noStrike">
              <a:solidFill>
                <a:srgbClr val="215F9A"/>
              </a:solidFill>
              <a:latin typeface="Aptos Narrow"/>
            </a:rPr>
            <a:pPr/>
            <a:t>Last Updated: 19-Sep-2026</a:t>
          </a:fld>
          <a:endParaRPr lang="en-IN" sz="1400" b="1">
            <a:solidFill>
              <a:srgbClr val="215F9A"/>
            </a:solidFill>
          </a:endParaRPr>
        </a:p>
      </xdr:txBody>
    </xdr:sp>
    <xdr:clientData/>
  </xdr:twoCellAnchor>
  <xdr:twoCellAnchor>
    <xdr:from>
      <xdr:col>6</xdr:col>
      <xdr:colOff>60960</xdr:colOff>
      <xdr:row>6</xdr:row>
      <xdr:rowOff>167640</xdr:rowOff>
    </xdr:from>
    <xdr:to>
      <xdr:col>10</xdr:col>
      <xdr:colOff>137160</xdr:colOff>
      <xdr:row>7</xdr:row>
      <xdr:rowOff>129540</xdr:rowOff>
    </xdr:to>
    <xdr:sp macro="" textlink="">
      <xdr:nvSpPr>
        <xdr:cNvPr id="121" name="TextBox 120">
          <a:extLst>
            <a:ext uri="{FF2B5EF4-FFF2-40B4-BE49-F238E27FC236}">
              <a16:creationId xmlns:a16="http://schemas.microsoft.com/office/drawing/2014/main" id="{FA953B53-B0CB-0154-C87D-00B262272F5B}"/>
            </a:ext>
          </a:extLst>
        </xdr:cNvPr>
        <xdr:cNvSpPr txBox="1"/>
      </xdr:nvSpPr>
      <xdr:spPr>
        <a:xfrm>
          <a:off x="3718560" y="1638300"/>
          <a:ext cx="25146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chemeClr val="tx2">
                  <a:lumMod val="90000"/>
                  <a:lumOff val="10000"/>
                </a:schemeClr>
              </a:solidFill>
            </a:rPr>
            <a:t>Sales by</a:t>
          </a:r>
          <a:r>
            <a:rPr lang="en-IN" sz="1100" b="1" baseline="0">
              <a:solidFill>
                <a:schemeClr val="tx2">
                  <a:lumMod val="90000"/>
                  <a:lumOff val="10000"/>
                </a:schemeClr>
              </a:solidFill>
            </a:rPr>
            <a:t> Region</a:t>
          </a:r>
          <a:endParaRPr lang="en-IN" sz="1100" b="1">
            <a:solidFill>
              <a:schemeClr val="tx2">
                <a:lumMod val="90000"/>
                <a:lumOff val="10000"/>
              </a:schemeClr>
            </a:solidFill>
          </a:endParaRPr>
        </a:p>
      </xdr:txBody>
    </xdr:sp>
    <xdr:clientData/>
  </xdr:twoCellAnchor>
  <xdr:twoCellAnchor>
    <xdr:from>
      <xdr:col>12</xdr:col>
      <xdr:colOff>289560</xdr:colOff>
      <xdr:row>6</xdr:row>
      <xdr:rowOff>129540</xdr:rowOff>
    </xdr:from>
    <xdr:to>
      <xdr:col>16</xdr:col>
      <xdr:colOff>365760</xdr:colOff>
      <xdr:row>7</xdr:row>
      <xdr:rowOff>91440</xdr:rowOff>
    </xdr:to>
    <xdr:sp macro="" textlink="">
      <xdr:nvSpPr>
        <xdr:cNvPr id="122" name="TextBox 121">
          <a:extLst>
            <a:ext uri="{FF2B5EF4-FFF2-40B4-BE49-F238E27FC236}">
              <a16:creationId xmlns:a16="http://schemas.microsoft.com/office/drawing/2014/main" id="{576F04B6-39C7-4C44-B71F-214AC3D145C5}"/>
            </a:ext>
          </a:extLst>
        </xdr:cNvPr>
        <xdr:cNvSpPr txBox="1"/>
      </xdr:nvSpPr>
      <xdr:spPr>
        <a:xfrm>
          <a:off x="7604760" y="1600200"/>
          <a:ext cx="25146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chemeClr val="tx2">
                  <a:lumMod val="90000"/>
                  <a:lumOff val="10000"/>
                </a:schemeClr>
              </a:solidFill>
            </a:rPr>
            <a:t>Profit by</a:t>
          </a:r>
          <a:r>
            <a:rPr lang="en-IN" sz="1100" b="1" baseline="0">
              <a:solidFill>
                <a:schemeClr val="tx2">
                  <a:lumMod val="90000"/>
                  <a:lumOff val="10000"/>
                </a:schemeClr>
              </a:solidFill>
            </a:rPr>
            <a:t> Region</a:t>
          </a:r>
          <a:endParaRPr lang="en-IN" sz="1100" b="1">
            <a:solidFill>
              <a:schemeClr val="tx2">
                <a:lumMod val="90000"/>
                <a:lumOff val="10000"/>
              </a:schemeClr>
            </a:solidFill>
          </a:endParaRPr>
        </a:p>
      </xdr:txBody>
    </xdr:sp>
    <xdr:clientData/>
  </xdr:twoCellAnchor>
  <xdr:twoCellAnchor>
    <xdr:from>
      <xdr:col>18</xdr:col>
      <xdr:colOff>518159</xdr:colOff>
      <xdr:row>6</xdr:row>
      <xdr:rowOff>175260</xdr:rowOff>
    </xdr:from>
    <xdr:to>
      <xdr:col>21</xdr:col>
      <xdr:colOff>38100</xdr:colOff>
      <xdr:row>8</xdr:row>
      <xdr:rowOff>30480</xdr:rowOff>
    </xdr:to>
    <xdr:sp macro="" textlink="">
      <xdr:nvSpPr>
        <xdr:cNvPr id="123" name="TextBox 122">
          <a:extLst>
            <a:ext uri="{FF2B5EF4-FFF2-40B4-BE49-F238E27FC236}">
              <a16:creationId xmlns:a16="http://schemas.microsoft.com/office/drawing/2014/main" id="{FC73DEF6-49BF-46BB-991A-239638B36ADA}"/>
            </a:ext>
          </a:extLst>
        </xdr:cNvPr>
        <xdr:cNvSpPr txBox="1"/>
      </xdr:nvSpPr>
      <xdr:spPr>
        <a:xfrm>
          <a:off x="11490959" y="1645920"/>
          <a:ext cx="134874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b="1">
              <a:solidFill>
                <a:schemeClr val="tx2">
                  <a:lumMod val="90000"/>
                  <a:lumOff val="10000"/>
                </a:schemeClr>
              </a:solidFill>
            </a:rPr>
            <a:t>Sales by Ship Mode</a:t>
          </a:r>
          <a:endParaRPr lang="en-IN" sz="1100" b="1">
            <a:solidFill>
              <a:schemeClr val="tx2">
                <a:lumMod val="90000"/>
                <a:lumOff val="10000"/>
              </a:schemeClr>
            </a:solidFill>
          </a:endParaRPr>
        </a:p>
      </xdr:txBody>
    </xdr:sp>
    <xdr:clientData/>
  </xdr:twoCellAnchor>
  <xdr:twoCellAnchor>
    <xdr:from>
      <xdr:col>5</xdr:col>
      <xdr:colOff>457200</xdr:colOff>
      <xdr:row>20</xdr:row>
      <xdr:rowOff>152400</xdr:rowOff>
    </xdr:from>
    <xdr:to>
      <xdr:col>7</xdr:col>
      <xdr:colOff>586741</xdr:colOff>
      <xdr:row>22</xdr:row>
      <xdr:rowOff>53340</xdr:rowOff>
    </xdr:to>
    <xdr:sp macro="" textlink="">
      <xdr:nvSpPr>
        <xdr:cNvPr id="124" name="TextBox 123">
          <a:extLst>
            <a:ext uri="{FF2B5EF4-FFF2-40B4-BE49-F238E27FC236}">
              <a16:creationId xmlns:a16="http://schemas.microsoft.com/office/drawing/2014/main" id="{C2D38EAE-FBE2-43EC-B774-B91CFB807DA3}"/>
            </a:ext>
          </a:extLst>
        </xdr:cNvPr>
        <xdr:cNvSpPr txBox="1"/>
      </xdr:nvSpPr>
      <xdr:spPr>
        <a:xfrm>
          <a:off x="3505200" y="4213860"/>
          <a:ext cx="134874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b="1">
              <a:solidFill>
                <a:schemeClr val="tx2">
                  <a:lumMod val="90000"/>
                  <a:lumOff val="10000"/>
                </a:schemeClr>
              </a:solidFill>
            </a:rPr>
            <a:t>Profit by Category</a:t>
          </a:r>
          <a:endParaRPr lang="en-IN" sz="1100" b="1">
            <a:solidFill>
              <a:schemeClr val="tx2">
                <a:lumMod val="90000"/>
                <a:lumOff val="10000"/>
              </a:schemeClr>
            </a:solidFill>
          </a:endParaRPr>
        </a:p>
      </xdr:txBody>
    </xdr:sp>
    <xdr:clientData/>
  </xdr:twoCellAnchor>
  <xdr:twoCellAnchor>
    <xdr:from>
      <xdr:col>12</xdr:col>
      <xdr:colOff>152400</xdr:colOff>
      <xdr:row>20</xdr:row>
      <xdr:rowOff>99060</xdr:rowOff>
    </xdr:from>
    <xdr:to>
      <xdr:col>14</xdr:col>
      <xdr:colOff>281941</xdr:colOff>
      <xdr:row>22</xdr:row>
      <xdr:rowOff>0</xdr:rowOff>
    </xdr:to>
    <xdr:sp macro="" textlink="">
      <xdr:nvSpPr>
        <xdr:cNvPr id="125" name="TextBox 124">
          <a:extLst>
            <a:ext uri="{FF2B5EF4-FFF2-40B4-BE49-F238E27FC236}">
              <a16:creationId xmlns:a16="http://schemas.microsoft.com/office/drawing/2014/main" id="{7B38BB91-1ACA-4480-BADB-ED4037E23E8D}"/>
            </a:ext>
          </a:extLst>
        </xdr:cNvPr>
        <xdr:cNvSpPr txBox="1"/>
      </xdr:nvSpPr>
      <xdr:spPr>
        <a:xfrm>
          <a:off x="7467600" y="4160520"/>
          <a:ext cx="134874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b="1">
              <a:solidFill>
                <a:schemeClr val="tx2">
                  <a:lumMod val="90000"/>
                  <a:lumOff val="10000"/>
                </a:schemeClr>
              </a:solidFill>
            </a:rPr>
            <a:t>Sales by Category</a:t>
          </a:r>
          <a:endParaRPr lang="en-IN" sz="1100" b="1">
            <a:solidFill>
              <a:schemeClr val="tx2">
                <a:lumMod val="90000"/>
                <a:lumOff val="10000"/>
              </a:schemeClr>
            </a:solidFill>
          </a:endParaRPr>
        </a:p>
      </xdr:txBody>
    </xdr:sp>
    <xdr:clientData/>
  </xdr:twoCellAnchor>
  <xdr:twoCellAnchor>
    <xdr:from>
      <xdr:col>18</xdr:col>
      <xdr:colOff>373379</xdr:colOff>
      <xdr:row>20</xdr:row>
      <xdr:rowOff>137160</xdr:rowOff>
    </xdr:from>
    <xdr:to>
      <xdr:col>20</xdr:col>
      <xdr:colOff>502920</xdr:colOff>
      <xdr:row>22</xdr:row>
      <xdr:rowOff>38100</xdr:rowOff>
    </xdr:to>
    <xdr:sp macro="" textlink="">
      <xdr:nvSpPr>
        <xdr:cNvPr id="126" name="TextBox 125">
          <a:extLst>
            <a:ext uri="{FF2B5EF4-FFF2-40B4-BE49-F238E27FC236}">
              <a16:creationId xmlns:a16="http://schemas.microsoft.com/office/drawing/2014/main" id="{99A758CC-5B3D-4D32-9980-20E16AFFEE46}"/>
            </a:ext>
          </a:extLst>
        </xdr:cNvPr>
        <xdr:cNvSpPr txBox="1"/>
      </xdr:nvSpPr>
      <xdr:spPr>
        <a:xfrm>
          <a:off x="11346179" y="4198620"/>
          <a:ext cx="1348741" cy="266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b="1">
              <a:solidFill>
                <a:schemeClr val="tx2">
                  <a:lumMod val="90000"/>
                  <a:lumOff val="10000"/>
                </a:schemeClr>
              </a:solidFill>
            </a:rPr>
            <a:t>Monthly</a:t>
          </a:r>
          <a:r>
            <a:rPr lang="en-IN" sz="1100" b="1" baseline="0">
              <a:solidFill>
                <a:schemeClr val="tx2">
                  <a:lumMod val="90000"/>
                  <a:lumOff val="10000"/>
                </a:schemeClr>
              </a:solidFill>
            </a:rPr>
            <a:t> Sales Trend</a:t>
          </a:r>
          <a:endParaRPr lang="en-IN" sz="1100" b="1">
            <a:solidFill>
              <a:schemeClr val="tx2">
                <a:lumMod val="90000"/>
                <a:lumOff val="10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yur Barase" refreshedDate="46280.676263078705" createdVersion="8" refreshedVersion="8" minRefreshableVersion="3" recordCount="1000" xr:uid="{29ED0889-FE80-4E58-A610-0CEF638EA4A9}">
  <cacheSource type="worksheet">
    <worksheetSource name="SalesData"/>
  </cacheSource>
  <cacheFields count="15">
    <cacheField name="Order ID" numFmtId="0">
      <sharedItems/>
    </cacheField>
    <cacheField name="Order Date" numFmtId="164">
      <sharedItems containsSemiMixedTypes="0" containsNonDate="0" containsDate="1" containsString="0" minDate="2024-01-01T00:00:00" maxDate="2025-12-31T00:00:00" count="536">
        <d v="2024-07-03T00:00:00"/>
        <d v="2025-03-11T00:00:00"/>
        <d v="2024-12-06T00:00:00"/>
        <d v="2024-11-24T00:00:00"/>
        <d v="2024-01-14T00:00:00"/>
        <d v="2025-08-11T00:00:00"/>
        <d v="2024-06-14T00:00:00"/>
        <d v="2024-11-06T00:00:00"/>
        <d v="2024-12-23T00:00:00"/>
        <d v="2024-12-12T00:00:00"/>
        <d v="2025-11-03T00:00:00"/>
        <d v="2025-08-18T00:00:00"/>
        <d v="2025-04-15T00:00:00"/>
        <d v="2025-12-28T00:00:00"/>
        <d v="2024-11-23T00:00:00"/>
        <d v="2024-07-25T00:00:00"/>
        <d v="2025-03-06T00:00:00"/>
        <d v="2024-11-07T00:00:00"/>
        <d v="2024-04-28T00:00:00"/>
        <d v="2025-03-17T00:00:00"/>
        <d v="2024-03-07T00:00:00"/>
        <d v="2025-03-10T00:00:00"/>
        <d v="2024-10-18T00:00:00"/>
        <d v="2025-07-11T00:00:00"/>
        <d v="2025-10-14T00:00:00"/>
        <d v="2024-05-11T00:00:00"/>
        <d v="2025-01-07T00:00:00"/>
        <d v="2025-12-30T00:00:00"/>
        <d v="2024-09-16T00:00:00"/>
        <d v="2025-03-04T00:00:00"/>
        <d v="2024-10-20T00:00:00"/>
        <d v="2024-12-14T00:00:00"/>
        <d v="2024-08-07T00:00:00"/>
        <d v="2024-11-29T00:00:00"/>
        <d v="2024-09-04T00:00:00"/>
        <d v="2024-11-11T00:00:00"/>
        <d v="2025-10-08T00:00:00"/>
        <d v="2025-11-02T00:00:00"/>
        <d v="2024-09-06T00:00:00"/>
        <d v="2025-12-02T00:00:00"/>
        <d v="2024-05-01T00:00:00"/>
        <d v="2024-01-06T00:00:00"/>
        <d v="2024-12-02T00:00:00"/>
        <d v="2025-02-05T00:00:00"/>
        <d v="2025-06-28T00:00:00"/>
        <d v="2025-01-01T00:00:00"/>
        <d v="2025-09-06T00:00:00"/>
        <d v="2025-06-23T00:00:00"/>
        <d v="2024-07-02T00:00:00"/>
        <d v="2025-11-08T00:00:00"/>
        <d v="2025-01-12T00:00:00"/>
        <d v="2024-08-27T00:00:00"/>
        <d v="2025-11-13T00:00:00"/>
        <d v="2025-06-09T00:00:00"/>
        <d v="2025-05-25T00:00:00"/>
        <d v="2025-10-15T00:00:00"/>
        <d v="2024-11-02T00:00:00"/>
        <d v="2025-05-01T00:00:00"/>
        <d v="2025-11-26T00:00:00"/>
        <d v="2025-05-31T00:00:00"/>
        <d v="2024-06-18T00:00:00"/>
        <d v="2025-11-16T00:00:00"/>
        <d v="2024-03-08T00:00:00"/>
        <d v="2024-03-14T00:00:00"/>
        <d v="2024-12-21T00:00:00"/>
        <d v="2024-01-19T00:00:00"/>
        <d v="2024-10-24T00:00:00"/>
        <d v="2024-10-16T00:00:00"/>
        <d v="2025-03-15T00:00:00"/>
        <d v="2024-11-08T00:00:00"/>
        <d v="2025-03-02T00:00:00"/>
        <d v="2025-03-22T00:00:00"/>
        <d v="2025-09-07T00:00:00"/>
        <d v="2024-08-02T00:00:00"/>
        <d v="2025-10-19T00:00:00"/>
        <d v="2025-04-06T00:00:00"/>
        <d v="2025-10-12T00:00:00"/>
        <d v="2025-04-12T00:00:00"/>
        <d v="2025-12-15T00:00:00"/>
        <d v="2025-01-26T00:00:00"/>
        <d v="2025-09-23T00:00:00"/>
        <d v="2025-12-29T00:00:00"/>
        <d v="2024-05-12T00:00:00"/>
        <d v="2024-10-30T00:00:00"/>
        <d v="2024-11-14T00:00:00"/>
        <d v="2024-06-16T00:00:00"/>
        <d v="2025-07-13T00:00:00"/>
        <d v="2025-01-05T00:00:00"/>
        <d v="2024-03-17T00:00:00"/>
        <d v="2024-03-06T00:00:00"/>
        <d v="2025-03-20T00:00:00"/>
        <d v="2024-01-22T00:00:00"/>
        <d v="2024-07-07T00:00:00"/>
        <d v="2024-07-09T00:00:00"/>
        <d v="2024-04-10T00:00:00"/>
        <d v="2024-10-31T00:00:00"/>
        <d v="2025-07-21T00:00:00"/>
        <d v="2024-12-03T00:00:00"/>
        <d v="2024-12-15T00:00:00"/>
        <d v="2025-12-24T00:00:00"/>
        <d v="2025-12-11T00:00:00"/>
        <d v="2025-08-05T00:00:00"/>
        <d v="2024-07-14T00:00:00"/>
        <d v="2024-09-15T00:00:00"/>
        <d v="2024-09-30T00:00:00"/>
        <d v="2024-12-04T00:00:00"/>
        <d v="2025-04-08T00:00:00"/>
        <d v="2024-11-15T00:00:00"/>
        <d v="2024-08-12T00:00:00"/>
        <d v="2024-07-24T00:00:00"/>
        <d v="2025-09-02T00:00:00"/>
        <d v="2025-03-08T00:00:00"/>
        <d v="2025-05-14T00:00:00"/>
        <d v="2025-02-28T00:00:00"/>
        <d v="2024-01-07T00:00:00"/>
        <d v="2024-03-22T00:00:00"/>
        <d v="2025-12-07T00:00:00"/>
        <d v="2024-03-09T00:00:00"/>
        <d v="2024-03-10T00:00:00"/>
        <d v="2025-10-11T00:00:00"/>
        <d v="2024-04-27T00:00:00"/>
        <d v="2025-09-25T00:00:00"/>
        <d v="2025-03-18T00:00:00"/>
        <d v="2025-12-09T00:00:00"/>
        <d v="2024-03-16T00:00:00"/>
        <d v="2024-12-29T00:00:00"/>
        <d v="2024-12-18T00:00:00"/>
        <d v="2025-08-27T00:00:00"/>
        <d v="2025-02-02T00:00:00"/>
        <d v="2024-05-10T00:00:00"/>
        <d v="2024-09-27T00:00:00"/>
        <d v="2025-07-14T00:00:00"/>
        <d v="2024-03-26T00:00:00"/>
        <d v="2025-05-12T00:00:00"/>
        <d v="2025-10-29T00:00:00"/>
        <d v="2025-04-10T00:00:00"/>
        <d v="2024-02-05T00:00:00"/>
        <d v="2024-09-05T00:00:00"/>
        <d v="2025-07-22T00:00:00"/>
        <d v="2025-08-12T00:00:00"/>
        <d v="2024-03-29T00:00:00"/>
        <d v="2024-08-10T00:00:00"/>
        <d v="2024-01-18T00:00:00"/>
        <d v="2024-11-13T00:00:00"/>
        <d v="2024-06-08T00:00:00"/>
        <d v="2025-11-09T00:00:00"/>
        <d v="2025-11-05T00:00:00"/>
        <d v="2024-09-12T00:00:00"/>
        <d v="2025-10-21T00:00:00"/>
        <d v="2025-12-18T00:00:00"/>
        <d v="2025-12-13T00:00:00"/>
        <d v="2024-10-07T00:00:00"/>
        <d v="2024-09-25T00:00:00"/>
        <d v="2024-07-19T00:00:00"/>
        <d v="2024-02-03T00:00:00"/>
        <d v="2025-03-30T00:00:00"/>
        <d v="2024-12-24T00:00:00"/>
        <d v="2024-10-11T00:00:00"/>
        <d v="2024-11-10T00:00:00"/>
        <d v="2025-08-02T00:00:00"/>
        <d v="2025-09-08T00:00:00"/>
        <d v="2024-05-18T00:00:00"/>
        <d v="2024-01-09T00:00:00"/>
        <d v="2025-09-20T00:00:00"/>
        <d v="2025-02-23T00:00:00"/>
        <d v="2025-04-28T00:00:00"/>
        <d v="2024-04-20T00:00:00"/>
        <d v="2024-09-21T00:00:00"/>
        <d v="2025-09-17T00:00:00"/>
        <d v="2025-06-02T00:00:00"/>
        <d v="2024-11-09T00:00:00"/>
        <d v="2024-01-24T00:00:00"/>
        <d v="2025-11-11T00:00:00"/>
        <d v="2025-08-07T00:00:00"/>
        <d v="2025-08-04T00:00:00"/>
        <d v="2024-10-02T00:00:00"/>
        <d v="2025-07-30T00:00:00"/>
        <d v="2024-06-26T00:00:00"/>
        <d v="2025-07-16T00:00:00"/>
        <d v="2024-02-11T00:00:00"/>
        <d v="2024-10-23T00:00:00"/>
        <d v="2025-08-22T00:00:00"/>
        <d v="2025-01-13T00:00:00"/>
        <d v="2025-04-21T00:00:00"/>
        <d v="2025-11-23T00:00:00"/>
        <d v="2024-05-24T00:00:00"/>
        <d v="2024-08-25T00:00:00"/>
        <d v="2025-08-19T00:00:00"/>
        <d v="2024-04-15T00:00:00"/>
        <d v="2024-04-06T00:00:00"/>
        <d v="2024-01-10T00:00:00"/>
        <d v="2025-05-26T00:00:00"/>
        <d v="2024-12-27T00:00:00"/>
        <d v="2024-05-05T00:00:00"/>
        <d v="2024-05-29T00:00:00"/>
        <d v="2025-10-01T00:00:00"/>
        <d v="2024-06-07T00:00:00"/>
        <d v="2025-05-06T00:00:00"/>
        <d v="2025-02-11T00:00:00"/>
        <d v="2025-11-20T00:00:00"/>
        <d v="2024-05-20T00:00:00"/>
        <d v="2025-11-01T00:00:00"/>
        <d v="2025-11-07T00:00:00"/>
        <d v="2024-04-13T00:00:00"/>
        <d v="2024-02-23T00:00:00"/>
        <d v="2025-04-30T00:00:00"/>
        <d v="2024-05-23T00:00:00"/>
        <d v="2024-06-02T00:00:00"/>
        <d v="2024-06-11T00:00:00"/>
        <d v="2025-12-22T00:00:00"/>
        <d v="2025-10-26T00:00:00"/>
        <d v="2025-03-01T00:00:00"/>
        <d v="2025-06-10T00:00:00"/>
        <d v="2024-07-23T00:00:00"/>
        <d v="2025-07-08T00:00:00"/>
        <d v="2025-01-29T00:00:00"/>
        <d v="2024-02-07T00:00:00"/>
        <d v="2025-12-17T00:00:00"/>
        <d v="2024-06-17T00:00:00"/>
        <d v="2024-01-28T00:00:00"/>
        <d v="2024-04-14T00:00:00"/>
        <d v="2024-03-13T00:00:00"/>
        <d v="2024-09-23T00:00:00"/>
        <d v="2025-01-20T00:00:00"/>
        <d v="2025-02-20T00:00:00"/>
        <d v="2024-10-19T00:00:00"/>
        <d v="2025-08-13T00:00:00"/>
        <d v="2025-12-03T00:00:00"/>
        <d v="2025-09-16T00:00:00"/>
        <d v="2024-02-21T00:00:00"/>
        <d v="2025-02-19T00:00:00"/>
        <d v="2024-10-21T00:00:00"/>
        <d v="2024-11-30T00:00:00"/>
        <d v="2024-12-09T00:00:00"/>
        <d v="2025-02-21T00:00:00"/>
        <d v="2025-09-28T00:00:00"/>
        <d v="2025-06-22T00:00:00"/>
        <d v="2024-08-30T00:00:00"/>
        <d v="2025-03-31T00:00:00"/>
        <d v="2025-06-30T00:00:00"/>
        <d v="2025-03-14T00:00:00"/>
        <d v="2024-03-27T00:00:00"/>
        <d v="2024-11-04T00:00:00"/>
        <d v="2025-11-06T00:00:00"/>
        <d v="2025-02-24T00:00:00"/>
        <d v="2024-06-01T00:00:00"/>
        <d v="2025-09-03T00:00:00"/>
        <d v="2025-11-21T00:00:00"/>
        <d v="2024-03-19T00:00:00"/>
        <d v="2025-12-19T00:00:00"/>
        <d v="2024-12-10T00:00:00"/>
        <d v="2025-01-16T00:00:00"/>
        <d v="2025-05-27T00:00:00"/>
        <d v="2024-02-08T00:00:00"/>
        <d v="2025-04-07T00:00:00"/>
        <d v="2024-06-30T00:00:00"/>
        <d v="2025-01-17T00:00:00"/>
        <d v="2025-02-12T00:00:00"/>
        <d v="2025-04-14T00:00:00"/>
        <d v="2024-05-31T00:00:00"/>
        <d v="2024-04-29T00:00:00"/>
        <d v="2024-07-06T00:00:00"/>
        <d v="2024-07-27T00:00:00"/>
        <d v="2025-06-27T00:00:00"/>
        <d v="2024-08-14T00:00:00"/>
        <d v="2024-06-20T00:00:00"/>
        <d v="2024-03-12T00:00:00"/>
        <d v="2025-10-03T00:00:00"/>
        <d v="2025-12-21T00:00:00"/>
        <d v="2025-11-04T00:00:00"/>
        <d v="2024-11-25T00:00:00"/>
        <d v="2024-02-27T00:00:00"/>
        <d v="2025-04-03T00:00:00"/>
        <d v="2024-12-25T00:00:00"/>
        <d v="2024-03-25T00:00:00"/>
        <d v="2024-11-27T00:00:00"/>
        <d v="2025-02-16T00:00:00"/>
        <d v="2024-01-30T00:00:00"/>
        <d v="2024-09-14T00:00:00"/>
        <d v="2025-03-21T00:00:00"/>
        <d v="2024-11-18T00:00:00"/>
        <d v="2025-01-22T00:00:00"/>
        <d v="2024-05-02T00:00:00"/>
        <d v="2025-07-15T00:00:00"/>
        <d v="2025-10-10T00:00:00"/>
        <d v="2025-01-24T00:00:00"/>
        <d v="2024-05-17T00:00:00"/>
        <d v="2025-12-16T00:00:00"/>
        <d v="2024-05-30T00:00:00"/>
        <d v="2025-02-13T00:00:00"/>
        <d v="2024-11-12T00:00:00"/>
        <d v="2024-04-05T00:00:00"/>
        <d v="2025-01-03T00:00:00"/>
        <d v="2025-07-28T00:00:00"/>
        <d v="2024-10-05T00:00:00"/>
        <d v="2025-05-13T00:00:00"/>
        <d v="2024-09-24T00:00:00"/>
        <d v="2025-11-25T00:00:00"/>
        <d v="2025-10-06T00:00:00"/>
        <d v="2024-05-28T00:00:00"/>
        <d v="2024-06-05T00:00:00"/>
        <d v="2025-05-05T00:00:00"/>
        <d v="2024-02-16T00:00:00"/>
        <d v="2024-01-08T00:00:00"/>
        <d v="2024-11-28T00:00:00"/>
        <d v="2025-05-08T00:00:00"/>
        <d v="2025-08-23T00:00:00"/>
        <d v="2025-02-26T00:00:00"/>
        <d v="2025-10-31T00:00:00"/>
        <d v="2025-10-24T00:00:00"/>
        <d v="2024-04-12T00:00:00"/>
        <d v="2024-04-23T00:00:00"/>
        <d v="2025-07-27T00:00:00"/>
        <d v="2025-07-19T00:00:00"/>
        <d v="2024-12-01T00:00:00"/>
        <d v="2024-01-17T00:00:00"/>
        <d v="2024-10-25T00:00:00"/>
        <d v="2025-09-24T00:00:00"/>
        <d v="2025-10-02T00:00:00"/>
        <d v="2024-01-16T00:00:00"/>
        <d v="2024-07-30T00:00:00"/>
        <d v="2024-05-26T00:00:00"/>
        <d v="2024-04-18T00:00:00"/>
        <d v="2024-08-20T00:00:00"/>
        <d v="2024-12-11T00:00:00"/>
        <d v="2025-12-06T00:00:00"/>
        <d v="2024-04-08T00:00:00"/>
        <d v="2025-09-14T00:00:00"/>
        <d v="2025-09-13T00:00:00"/>
        <d v="2025-02-08T00:00:00"/>
        <d v="2025-10-18T00:00:00"/>
        <d v="2024-10-12T00:00:00"/>
        <d v="2025-03-26T00:00:00"/>
        <d v="2024-06-28T00:00:00"/>
        <d v="2025-10-07T00:00:00"/>
        <d v="2024-07-01T00:00:00"/>
        <d v="2025-04-04T00:00:00"/>
        <d v="2024-01-02T00:00:00"/>
        <d v="2024-01-01T00:00:00"/>
        <d v="2024-02-18T00:00:00"/>
        <d v="2024-02-29T00:00:00"/>
        <d v="2024-07-13T00:00:00"/>
        <d v="2024-01-25T00:00:00"/>
        <d v="2024-08-21T00:00:00"/>
        <d v="2024-07-31T00:00:00"/>
        <d v="2025-02-10T00:00:00"/>
        <d v="2025-01-09T00:00:00"/>
        <d v="2025-02-07T00:00:00"/>
        <d v="2024-08-22T00:00:00"/>
        <d v="2025-04-19T00:00:00"/>
        <d v="2025-09-19T00:00:00"/>
        <d v="2025-01-14T00:00:00"/>
        <d v="2025-04-20T00:00:00"/>
        <d v="2025-06-03T00:00:00"/>
        <d v="2024-05-06T00:00:00"/>
        <d v="2025-08-29T00:00:00"/>
        <d v="2024-08-26T00:00:00"/>
        <d v="2024-12-19T00:00:00"/>
        <d v="2025-10-23T00:00:00"/>
        <d v="2024-09-10T00:00:00"/>
        <d v="2024-06-23T00:00:00"/>
        <d v="2025-03-24T00:00:00"/>
        <d v="2025-12-05T00:00:00"/>
        <d v="2024-03-18T00:00:00"/>
        <d v="2025-05-20T00:00:00"/>
        <d v="2024-11-17T00:00:00"/>
        <d v="2024-09-20T00:00:00"/>
        <d v="2025-04-09T00:00:00"/>
        <d v="2024-02-22T00:00:00"/>
        <d v="2024-04-03T00:00:00"/>
        <d v="2024-12-22T00:00:00"/>
        <d v="2024-01-03T00:00:00"/>
        <d v="2024-01-11T00:00:00"/>
        <d v="2024-10-29T00:00:00"/>
        <d v="2025-03-09T00:00:00"/>
        <d v="2024-12-13T00:00:00"/>
        <d v="2025-08-09T00:00:00"/>
        <d v="2024-01-31T00:00:00"/>
        <d v="2025-05-28T00:00:00"/>
        <d v="2025-10-09T00:00:00"/>
        <d v="2025-11-15T00:00:00"/>
        <d v="2024-04-30T00:00:00"/>
        <d v="2024-08-06T00:00:00"/>
        <d v="2025-09-30T00:00:00"/>
        <d v="2025-09-11T00:00:00"/>
        <d v="2025-10-27T00:00:00"/>
        <d v="2025-10-17T00:00:00"/>
        <d v="2025-06-05T00:00:00"/>
        <d v="2025-10-13T00:00:00"/>
        <d v="2025-11-29T00:00:00"/>
        <d v="2025-05-10T00:00:00"/>
        <d v="2024-03-23T00:00:00"/>
        <d v="2024-01-04T00:00:00"/>
        <d v="2024-03-31T00:00:00"/>
        <d v="2024-07-18T00:00:00"/>
        <d v="2024-01-20T00:00:00"/>
        <d v="2025-01-10T00:00:00"/>
        <d v="2025-12-23T00:00:00"/>
        <d v="2024-05-04T00:00:00"/>
        <d v="2024-09-08T00:00:00"/>
        <d v="2024-04-02T00:00:00"/>
        <d v="2024-10-15T00:00:00"/>
        <d v="2025-08-21T00:00:00"/>
        <d v="2024-11-19T00:00:00"/>
        <d v="2024-01-21T00:00:00"/>
        <d v="2024-08-16T00:00:00"/>
        <d v="2024-08-01T00:00:00"/>
        <d v="2024-05-08T00:00:00"/>
        <d v="2025-04-11T00:00:00"/>
        <d v="2025-03-19T00:00:00"/>
        <d v="2024-08-23T00:00:00"/>
        <d v="2025-08-14T00:00:00"/>
        <d v="2024-10-03T00:00:00"/>
        <d v="2024-06-27T00:00:00"/>
        <d v="2025-07-25T00:00:00"/>
        <d v="2024-10-22T00:00:00"/>
        <d v="2024-02-17T00:00:00"/>
        <d v="2024-09-22T00:00:00"/>
        <d v="2025-06-19T00:00:00"/>
        <d v="2024-06-06T00:00:00"/>
        <d v="2025-01-08T00:00:00"/>
        <d v="2025-10-22T00:00:00"/>
        <d v="2024-12-08T00:00:00"/>
        <d v="2025-09-01T00:00:00"/>
        <d v="2025-09-05T00:00:00"/>
        <d v="2024-12-05T00:00:00"/>
        <d v="2025-02-17T00:00:00"/>
        <d v="2024-04-22T00:00:00"/>
        <d v="2024-07-08T00:00:00"/>
        <d v="2024-06-15T00:00:00"/>
        <d v="2025-02-06T00:00:00"/>
        <d v="2025-09-10T00:00:00"/>
        <d v="2025-09-04T00:00:00"/>
        <d v="2024-09-26T00:00:00"/>
        <d v="2024-08-03T00:00:00"/>
        <d v="2025-08-17T00:00:00"/>
        <d v="2025-05-19T00:00:00"/>
        <d v="2025-05-11T00:00:00"/>
        <d v="2024-07-26T00:00:00"/>
        <d v="2024-02-04T00:00:00"/>
        <d v="2024-03-28T00:00:00"/>
        <d v="2025-06-04T00:00:00"/>
        <d v="2024-07-29T00:00:00"/>
        <d v="2024-02-14T00:00:00"/>
        <d v="2025-06-16T00:00:00"/>
        <d v="2025-11-30T00:00:00"/>
        <d v="2025-04-16T00:00:00"/>
        <d v="2024-02-13T00:00:00"/>
        <d v="2025-06-12T00:00:00"/>
        <d v="2024-08-05T00:00:00"/>
        <d v="2025-12-01T00:00:00"/>
        <d v="2025-07-10T00:00:00"/>
        <d v="2024-06-12T00:00:00"/>
        <d v="2024-11-22T00:00:00"/>
        <d v="2024-11-16T00:00:00"/>
        <d v="2025-01-23T00:00:00"/>
        <d v="2024-11-20T00:00:00"/>
        <d v="2025-04-25T00:00:00"/>
        <d v="2025-10-30T00:00:00"/>
        <d v="2025-11-10T00:00:00"/>
        <d v="2024-02-28T00:00:00"/>
        <d v="2024-04-19T00:00:00"/>
        <d v="2025-08-10T00:00:00"/>
        <d v="2025-01-11T00:00:00"/>
        <d v="2024-05-15T00:00:00"/>
        <d v="2024-09-03T00:00:00"/>
        <d v="2025-07-17T00:00:00"/>
        <d v="2025-08-28T00:00:00"/>
        <d v="2025-08-30T00:00:00"/>
        <d v="2025-01-30T00:00:00"/>
        <d v="2024-03-15T00:00:00"/>
        <d v="2025-12-14T00:00:00"/>
        <d v="2024-10-04T00:00:00"/>
        <d v="2025-09-18T00:00:00"/>
        <d v="2025-06-11T00:00:00"/>
        <d v="2025-05-16T00:00:00"/>
        <d v="2024-08-15T00:00:00"/>
        <d v="2024-09-17T00:00:00"/>
        <d v="2024-02-26T00:00:00"/>
        <d v="2024-04-04T00:00:00"/>
        <d v="2024-10-01T00:00:00"/>
        <d v="2024-10-14T00:00:00"/>
        <d v="2025-02-25T00:00:00"/>
        <d v="2025-04-01T00:00:00"/>
        <d v="2025-04-29T00:00:00"/>
        <d v="2024-08-28T00:00:00"/>
        <d v="2024-10-08T00:00:00"/>
        <d v="2024-08-11T00:00:00"/>
        <d v="2025-07-26T00:00:00"/>
        <d v="2025-10-20T00:00:00"/>
        <d v="2025-05-24T00:00:00"/>
        <d v="2024-09-07T00:00:00"/>
        <d v="2024-12-17T00:00:00"/>
        <d v="2025-08-20T00:00:00"/>
        <d v="2024-03-30T00:00:00"/>
        <d v="2024-11-21T00:00:00"/>
        <d v="2025-06-17T00:00:00"/>
        <d v="2025-12-25T00:00:00"/>
        <d v="2024-08-31T00:00:00"/>
        <d v="2024-09-18T00:00:00"/>
        <d v="2024-04-07T00:00:00"/>
        <d v="2025-07-18T00:00:00"/>
        <d v="2024-02-19T00:00:00"/>
        <d v="2024-01-29T00:00:00"/>
        <d v="2024-09-09T00:00:00"/>
        <d v="2025-06-21T00:00:00"/>
        <d v="2025-04-24T00:00:00"/>
        <d v="2025-06-26T00:00:00"/>
        <d v="2024-06-13T00:00:00"/>
        <d v="2024-10-28T00:00:00"/>
        <d v="2024-01-05T00:00:00"/>
        <d v="2025-01-25T00:00:00"/>
        <d v="2025-02-22T00:00:00"/>
        <d v="2024-05-13T00:00:00"/>
        <d v="2025-09-15T00:00:00"/>
        <d v="2024-08-09T00:00:00"/>
        <d v="2024-06-04T00:00:00"/>
        <d v="2025-03-28T00:00:00"/>
        <d v="2025-03-05T00:00:00"/>
        <d v="2025-05-23T00:00:00"/>
        <d v="2024-05-22T00:00:00"/>
        <d v="2024-12-07T00:00:00"/>
        <d v="2024-04-09T00:00:00"/>
        <d v="2025-05-18T00:00:00"/>
        <d v="2024-09-11T00:00:00"/>
        <d v="2025-01-02T00:00:00"/>
        <d v="2024-10-09T00:00:00"/>
        <d v="2024-03-24T00:00:00"/>
        <d v="2025-04-18T00:00:00"/>
        <d v="2025-10-16T00:00:00"/>
        <d v="2025-01-31T00:00:00"/>
        <d v="2024-12-31T00:00:00"/>
        <d v="2025-07-29T00:00:00"/>
        <d v="2025-11-19T00:00:00"/>
        <d v="2024-07-04T00:00:00"/>
        <d v="2025-07-12T00:00:00"/>
      </sharedItems>
      <fieldGroup par="14"/>
    </cacheField>
    <cacheField name="Customer Name" numFmtId="0">
      <sharedItems/>
    </cacheField>
    <cacheField name="Region" numFmtId="0">
      <sharedItems count="5">
        <s v="West"/>
        <s v="Central"/>
        <s v="North"/>
        <s v="East"/>
        <s v="South"/>
      </sharedItems>
    </cacheField>
    <cacheField name="Product Name" numFmtId="0">
      <sharedItems/>
    </cacheField>
    <cacheField name="Category" numFmtId="0">
      <sharedItems count="5">
        <s v="Electronics"/>
        <s v="Beauty"/>
        <s v="Home"/>
        <s v="Clothing"/>
        <s v="Sports"/>
      </sharedItems>
    </cacheField>
    <cacheField name="Quantity" numFmtId="0">
      <sharedItems containsSemiMixedTypes="0" containsString="0" containsNumber="1" containsInteger="1" minValue="1" maxValue="5"/>
    </cacheField>
    <cacheField name="Unit Price" numFmtId="165">
      <sharedItems containsSemiMixedTypes="0" containsString="0" containsNumber="1" minValue="7.17" maxValue="149.78"/>
    </cacheField>
    <cacheField name="Discount %" numFmtId="166">
      <sharedItems containsSemiMixedTypes="0" containsString="0" containsNumber="1" containsInteger="1" minValue="0" maxValue="25"/>
    </cacheField>
    <cacheField name="Total Revenue" numFmtId="165">
      <sharedItems containsSemiMixedTypes="0" containsString="0" containsNumber="1" minValue="6.43" maxValue="619.75"/>
    </cacheField>
    <cacheField name="Profit" numFmtId="165">
      <sharedItems containsSemiMixedTypes="0" containsString="0" containsNumber="1" minValue="1.83" maxValue="166.62"/>
    </cacheField>
    <cacheField name="Ship Mode" numFmtId="0">
      <sharedItems count="3">
        <s v="Standard"/>
        <s v="Express"/>
        <s v="Same Day"/>
      </sharedItems>
    </cacheField>
    <cacheField name="Months (Order Date)" numFmtId="0" databaseField="0">
      <fieldGroup base="1">
        <rangePr groupBy="months" startDate="2024-01-01T00:00:00" endDate="2025-12-31T00:00:00"/>
        <groupItems count="14">
          <s v="&lt;01-01-2024"/>
          <s v="Jan"/>
          <s v="Feb"/>
          <s v="Mar"/>
          <s v="Apr"/>
          <s v="May"/>
          <s v="Jun"/>
          <s v="Jul"/>
          <s v="Aug"/>
          <s v="Sep"/>
          <s v="Oct"/>
          <s v="Nov"/>
          <s v="Dec"/>
          <s v="&gt;31-12-2025"/>
        </groupItems>
      </fieldGroup>
    </cacheField>
    <cacheField name="Quarters (Order Date)" numFmtId="0" databaseField="0">
      <fieldGroup base="1">
        <rangePr groupBy="quarters" startDate="2024-01-01T00:00:00" endDate="2025-12-31T00:00:00"/>
        <groupItems count="6">
          <s v="&lt;01-01-2024"/>
          <s v="Qtr1"/>
          <s v="Qtr2"/>
          <s v="Qtr3"/>
          <s v="Qtr4"/>
          <s v="&gt;31-12-2025"/>
        </groupItems>
      </fieldGroup>
    </cacheField>
    <cacheField name="Years (Order Date)" numFmtId="0" databaseField="0">
      <fieldGroup base="1">
        <rangePr groupBy="years" startDate="2024-01-01T00:00:00" endDate="2025-12-31T00:00:00"/>
        <groupItems count="4">
          <s v="&lt;01-01-2024"/>
          <s v="2024"/>
          <s v="2025"/>
          <s v="&gt;31-12-2025"/>
        </groupItems>
      </fieldGroup>
    </cacheField>
  </cacheFields>
  <extLst>
    <ext xmlns:x14="http://schemas.microsoft.com/office/spreadsheetml/2009/9/main" uri="{725AE2AE-9491-48be-B2B4-4EB974FC3084}">
      <x14:pivotCacheDefinition pivotCacheId="1664195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ORD-10001"/>
    <x v="0"/>
    <s v="Betty Miller"/>
    <x v="0"/>
    <s v="Portable Charger"/>
    <x v="0"/>
    <n v="1"/>
    <n v="133.59"/>
    <n v="25"/>
    <n v="100.19"/>
    <n v="22.55"/>
    <x v="0"/>
  </r>
  <r>
    <s v="ORD-10002"/>
    <x v="1"/>
    <s v="Linda Lewis"/>
    <x v="1"/>
    <s v="Eye Cream"/>
    <x v="1"/>
    <n v="1"/>
    <n v="30.64"/>
    <n v="0"/>
    <n v="30.64"/>
    <n v="19.48"/>
    <x v="1"/>
  </r>
  <r>
    <s v="ORD-10003"/>
    <x v="2"/>
    <s v="Robert Smith"/>
    <x v="2"/>
    <s v="Perfume Travel"/>
    <x v="1"/>
    <n v="2"/>
    <n v="23.36"/>
    <n v="10"/>
    <n v="42.05"/>
    <n v="24.14"/>
    <x v="1"/>
  </r>
  <r>
    <s v="ORD-10004"/>
    <x v="3"/>
    <s v="Jennifer Garcia"/>
    <x v="2"/>
    <s v="Webcam HD"/>
    <x v="0"/>
    <n v="2"/>
    <n v="124.59"/>
    <n v="5"/>
    <n v="236.72"/>
    <n v="27.62"/>
    <x v="0"/>
  </r>
  <r>
    <s v="ORD-10005"/>
    <x v="4"/>
    <s v="Jessica Clark"/>
    <x v="1"/>
    <s v="Keyboard Mechanical"/>
    <x v="0"/>
    <n v="2"/>
    <n v="63.76"/>
    <n v="0"/>
    <n v="127.52"/>
    <n v="13.01"/>
    <x v="2"/>
  </r>
  <r>
    <s v="ORD-10006"/>
    <x v="5"/>
    <s v="Steven Martinez"/>
    <x v="3"/>
    <s v="Throw Blanket"/>
    <x v="2"/>
    <n v="1"/>
    <n v="52.28"/>
    <n v="10"/>
    <n v="47.05"/>
    <n v="14.03"/>
    <x v="0"/>
  </r>
  <r>
    <s v="ORD-10007"/>
    <x v="6"/>
    <s v="Donna Harris"/>
    <x v="4"/>
    <s v="Body Lotion"/>
    <x v="1"/>
    <n v="1"/>
    <n v="12.42"/>
    <n v="5"/>
    <n v="11.8"/>
    <n v="6.64"/>
    <x v="2"/>
  </r>
  <r>
    <s v="ORD-10008"/>
    <x v="7"/>
    <s v="Ashley Gonzalez"/>
    <x v="3"/>
    <s v="Keyboard Mechanical"/>
    <x v="0"/>
    <n v="5"/>
    <n v="123.95"/>
    <n v="0"/>
    <n v="619.75"/>
    <n v="90.31"/>
    <x v="0"/>
  </r>
  <r>
    <s v="ORD-10009"/>
    <x v="8"/>
    <s v="Emily Ramirez"/>
    <x v="3"/>
    <s v="Casual Sneakers"/>
    <x v="3"/>
    <n v="1"/>
    <n v="45.28"/>
    <n v="0"/>
    <n v="45.28"/>
    <n v="20.92"/>
    <x v="0"/>
  </r>
  <r>
    <s v="ORD-10010"/>
    <x v="9"/>
    <s v="Richard Moore"/>
    <x v="4"/>
    <s v="Cutting Board"/>
    <x v="2"/>
    <n v="1"/>
    <n v="36.58"/>
    <n v="5"/>
    <n v="34.75"/>
    <n v="13.46"/>
    <x v="0"/>
  </r>
  <r>
    <s v="ORD-10011"/>
    <x v="10"/>
    <s v="Michelle Moore"/>
    <x v="1"/>
    <s v="USB-C Hub"/>
    <x v="0"/>
    <n v="2"/>
    <n v="85.28"/>
    <n v="25"/>
    <n v="127.92"/>
    <n v="31.54"/>
    <x v="1"/>
  </r>
  <r>
    <s v="ORD-10012"/>
    <x v="11"/>
    <s v="Anthony Lee"/>
    <x v="3"/>
    <s v="Yoga Pants"/>
    <x v="3"/>
    <n v="3"/>
    <n v="87.91"/>
    <n v="0"/>
    <n v="263.73"/>
    <n v="117.07"/>
    <x v="0"/>
  </r>
  <r>
    <s v="ORD-10013"/>
    <x v="12"/>
    <s v="Daniel Davis"/>
    <x v="4"/>
    <s v="Scented Candle Set"/>
    <x v="2"/>
    <n v="3"/>
    <n v="61.19"/>
    <n v="20"/>
    <n v="146.86000000000001"/>
    <n v="51.07"/>
    <x v="0"/>
  </r>
  <r>
    <s v="ORD-10014"/>
    <x v="13"/>
    <s v="Carol Jackson"/>
    <x v="4"/>
    <s v="Smart Watch"/>
    <x v="0"/>
    <n v="2"/>
    <n v="52.43"/>
    <n v="10"/>
    <n v="94.37"/>
    <n v="7.94"/>
    <x v="2"/>
  </r>
  <r>
    <s v="ORD-10015"/>
    <x v="14"/>
    <s v="Thomas Moore"/>
    <x v="2"/>
    <s v="Portable Charger"/>
    <x v="0"/>
    <n v="2"/>
    <n v="29.03"/>
    <n v="0"/>
    <n v="58.06"/>
    <n v="5.71"/>
    <x v="0"/>
  </r>
  <r>
    <s v="ORD-10016"/>
    <x v="15"/>
    <s v="Karen Robinson"/>
    <x v="4"/>
    <s v="Desk Lamp"/>
    <x v="2"/>
    <n v="3"/>
    <n v="29.58"/>
    <n v="20"/>
    <n v="70.989999999999995"/>
    <n v="26.72"/>
    <x v="1"/>
  </r>
  <r>
    <s v="ORD-10017"/>
    <x v="16"/>
    <s v="Linda Davis"/>
    <x v="3"/>
    <s v="Yoga Pants"/>
    <x v="3"/>
    <n v="3"/>
    <n v="63.3"/>
    <n v="15"/>
    <n v="161.41"/>
    <n v="60.19"/>
    <x v="1"/>
  </r>
  <r>
    <s v="ORD-10018"/>
    <x v="17"/>
    <s v="Thomas Perez"/>
    <x v="2"/>
    <s v="Foam Roller"/>
    <x v="4"/>
    <n v="1"/>
    <n v="49.73"/>
    <n v="25"/>
    <n v="37.299999999999997"/>
    <n v="11.53"/>
    <x v="1"/>
  </r>
  <r>
    <s v="ORD-10019"/>
    <x v="18"/>
    <s v="Matthew Lee"/>
    <x v="3"/>
    <s v="Scented Candle Set"/>
    <x v="2"/>
    <n v="3"/>
    <n v="25.92"/>
    <n v="5"/>
    <n v="73.87"/>
    <n v="29.16"/>
    <x v="1"/>
  </r>
  <r>
    <s v="ORD-10020"/>
    <x v="19"/>
    <s v="Lisa Moore"/>
    <x v="1"/>
    <s v="Bluetooth Speaker"/>
    <x v="0"/>
    <n v="3"/>
    <n v="145.80000000000001"/>
    <n v="15"/>
    <n v="371.79"/>
    <n v="37.26"/>
    <x v="0"/>
  </r>
  <r>
    <s v="ORD-10021"/>
    <x v="20"/>
    <s v="Michelle Jackson"/>
    <x v="2"/>
    <s v="Nail Polish Set"/>
    <x v="1"/>
    <n v="3"/>
    <n v="26.14"/>
    <n v="15"/>
    <n v="66.66"/>
    <n v="30.63"/>
    <x v="0"/>
  </r>
  <r>
    <s v="ORD-10022"/>
    <x v="21"/>
    <s v="William Gonzalez"/>
    <x v="3"/>
    <s v="Foam Roller"/>
    <x v="4"/>
    <n v="1"/>
    <n v="19.97"/>
    <n v="0"/>
    <n v="19.97"/>
    <n v="6.25"/>
    <x v="2"/>
  </r>
  <r>
    <s v="ORD-10023"/>
    <x v="22"/>
    <s v="Karen Brown"/>
    <x v="3"/>
    <s v="Sunscreen SPF50"/>
    <x v="1"/>
    <n v="2"/>
    <n v="32.479999999999997"/>
    <n v="5"/>
    <n v="61.71"/>
    <n v="35.799999999999997"/>
    <x v="0"/>
  </r>
  <r>
    <s v="ORD-10024"/>
    <x v="23"/>
    <s v="Joshua Garcia"/>
    <x v="0"/>
    <s v="Athletic Socks"/>
    <x v="3"/>
    <n v="3"/>
    <n v="49.67"/>
    <n v="0"/>
    <n v="149.01"/>
    <n v="73.92"/>
    <x v="0"/>
  </r>
  <r>
    <s v="ORD-10025"/>
    <x v="24"/>
    <s v="Mary Lee"/>
    <x v="3"/>
    <s v="Jump Rope"/>
    <x v="4"/>
    <n v="1"/>
    <n v="52.7"/>
    <n v="10"/>
    <n v="47.43"/>
    <n v="7.69"/>
    <x v="1"/>
  </r>
  <r>
    <s v="ORD-10026"/>
    <x v="25"/>
    <s v="Ashley Garcia"/>
    <x v="0"/>
    <s v="Nail Polish Set"/>
    <x v="1"/>
    <n v="2"/>
    <n v="29.09"/>
    <n v="10"/>
    <n v="52.36"/>
    <n v="23.51"/>
    <x v="0"/>
  </r>
  <r>
    <s v="ORD-10027"/>
    <x v="26"/>
    <s v="Carol Davis"/>
    <x v="0"/>
    <s v="Eye Cream"/>
    <x v="1"/>
    <n v="1"/>
    <n v="46.94"/>
    <n v="25"/>
    <n v="35.21"/>
    <n v="19.91"/>
    <x v="1"/>
  </r>
  <r>
    <s v="ORD-10028"/>
    <x v="27"/>
    <s v="Jessica Miller"/>
    <x v="4"/>
    <s v="Scented Candle Set"/>
    <x v="2"/>
    <n v="1"/>
    <n v="59.59"/>
    <n v="20"/>
    <n v="47.67"/>
    <n v="15.67"/>
    <x v="1"/>
  </r>
  <r>
    <s v="ORD-10029"/>
    <x v="3"/>
    <s v="Andrew Brown"/>
    <x v="3"/>
    <s v="Casual Sneakers"/>
    <x v="3"/>
    <n v="1"/>
    <n v="31.5"/>
    <n v="0"/>
    <n v="31.5"/>
    <n v="9.74"/>
    <x v="1"/>
  </r>
  <r>
    <s v="ORD-10030"/>
    <x v="28"/>
    <s v="Karen Harris"/>
    <x v="0"/>
    <s v="Pillow Set"/>
    <x v="2"/>
    <n v="1"/>
    <n v="51.84"/>
    <n v="0"/>
    <n v="51.84"/>
    <n v="15.75"/>
    <x v="0"/>
  </r>
  <r>
    <s v="ORD-10031"/>
    <x v="9"/>
    <s v="Richard Robinson"/>
    <x v="2"/>
    <s v="Swim Goggles"/>
    <x v="4"/>
    <n v="2"/>
    <n v="50.9"/>
    <n v="0"/>
    <n v="101.8"/>
    <n v="23.24"/>
    <x v="1"/>
  </r>
  <r>
    <s v="ORD-10032"/>
    <x v="29"/>
    <s v="Nancy Martinez"/>
    <x v="1"/>
    <s v="Denim Jacket"/>
    <x v="3"/>
    <n v="3"/>
    <n v="74.78"/>
    <n v="25"/>
    <n v="168.26"/>
    <n v="73.87"/>
    <x v="1"/>
  </r>
  <r>
    <s v="ORD-10033"/>
    <x v="30"/>
    <s v="Thomas Clark"/>
    <x v="1"/>
    <s v="Jump Rope"/>
    <x v="4"/>
    <n v="2"/>
    <n v="16.010000000000002"/>
    <n v="0"/>
    <n v="32.020000000000003"/>
    <n v="5.12"/>
    <x v="1"/>
  </r>
  <r>
    <s v="ORD-10034"/>
    <x v="31"/>
    <s v="Dorothy Perez"/>
    <x v="3"/>
    <s v="Smart Watch"/>
    <x v="0"/>
    <n v="3"/>
    <n v="131.26"/>
    <n v="0"/>
    <n v="393.78"/>
    <n v="57.16"/>
    <x v="2"/>
  </r>
  <r>
    <s v="ORD-10035"/>
    <x v="32"/>
    <s v="Susan Clark"/>
    <x v="4"/>
    <s v="Rain Jacket"/>
    <x v="3"/>
    <n v="1"/>
    <n v="20.170000000000002"/>
    <n v="0"/>
    <n v="20.170000000000002"/>
    <n v="10.49"/>
    <x v="0"/>
  </r>
  <r>
    <s v="ORD-10036"/>
    <x v="33"/>
    <s v="Kenneth Lopez"/>
    <x v="1"/>
    <s v="Portable Charger"/>
    <x v="0"/>
    <n v="2"/>
    <n v="44.76"/>
    <n v="20"/>
    <n v="71.62"/>
    <n v="9.39"/>
    <x v="2"/>
  </r>
  <r>
    <s v="ORD-10037"/>
    <x v="34"/>
    <s v="Michael Johnson"/>
    <x v="4"/>
    <s v="Keyboard Mechanical"/>
    <x v="0"/>
    <n v="3"/>
    <n v="104.06"/>
    <n v="5"/>
    <n v="296.57"/>
    <n v="35.950000000000003"/>
    <x v="0"/>
  </r>
  <r>
    <s v="ORD-10038"/>
    <x v="35"/>
    <s v="William Williams"/>
    <x v="2"/>
    <s v="Desk Lamp"/>
    <x v="2"/>
    <n v="1"/>
    <n v="70.66"/>
    <n v="0"/>
    <n v="70.66"/>
    <n v="27.92"/>
    <x v="1"/>
  </r>
  <r>
    <s v="ORD-10039"/>
    <x v="36"/>
    <s v="Andrew Davis"/>
    <x v="2"/>
    <s v="Smart Watch"/>
    <x v="0"/>
    <n v="2"/>
    <n v="109.42"/>
    <n v="5"/>
    <n v="207.9"/>
    <n v="23.71"/>
    <x v="1"/>
  </r>
  <r>
    <s v="ORD-10040"/>
    <x v="37"/>
    <s v="Joseph Williams"/>
    <x v="2"/>
    <s v="Perfume Travel"/>
    <x v="1"/>
    <n v="2"/>
    <n v="32.74"/>
    <n v="0"/>
    <n v="65.48"/>
    <n v="38.89"/>
    <x v="1"/>
  </r>
  <r>
    <s v="ORD-10041"/>
    <x v="38"/>
    <s v="Sandra Lopez"/>
    <x v="0"/>
    <s v="Keyboard Mechanical"/>
    <x v="0"/>
    <n v="2"/>
    <n v="64.62"/>
    <n v="5"/>
    <n v="122.78"/>
    <n v="17.12"/>
    <x v="1"/>
  </r>
  <r>
    <s v="ORD-10042"/>
    <x v="39"/>
    <s v="Thomas Thomas"/>
    <x v="0"/>
    <s v="Dumbbells 10lb"/>
    <x v="4"/>
    <n v="2"/>
    <n v="15.54"/>
    <n v="0"/>
    <n v="31.08"/>
    <n v="8.59"/>
    <x v="2"/>
  </r>
  <r>
    <s v="ORD-10043"/>
    <x v="40"/>
    <s v="Donna Jackson"/>
    <x v="2"/>
    <s v="Water Bottle"/>
    <x v="4"/>
    <n v="3"/>
    <n v="36"/>
    <n v="0"/>
    <n v="108"/>
    <n v="28.79"/>
    <x v="2"/>
  </r>
  <r>
    <s v="ORD-10044"/>
    <x v="41"/>
    <s v="Michael Perez"/>
    <x v="3"/>
    <s v="Swim Goggles"/>
    <x v="4"/>
    <n v="1"/>
    <n v="52.02"/>
    <n v="0"/>
    <n v="52.02"/>
    <n v="17.25"/>
    <x v="0"/>
  </r>
  <r>
    <s v="ORD-10045"/>
    <x v="42"/>
    <s v="Daniel Jones"/>
    <x v="1"/>
    <s v="Laptop Stand"/>
    <x v="0"/>
    <n v="3"/>
    <n v="138.55000000000001"/>
    <n v="25"/>
    <n v="311.74"/>
    <n v="41.77"/>
    <x v="1"/>
  </r>
  <r>
    <s v="ORD-10046"/>
    <x v="43"/>
    <s v="Donna Robinson"/>
    <x v="2"/>
    <s v="Throw Blanket"/>
    <x v="2"/>
    <n v="2"/>
    <n v="27.91"/>
    <n v="15"/>
    <n v="47.45"/>
    <n v="10.11"/>
    <x v="1"/>
  </r>
  <r>
    <s v="ORD-10047"/>
    <x v="44"/>
    <s v="Dorothy Sanchez"/>
    <x v="2"/>
    <s v="Body Lotion"/>
    <x v="1"/>
    <n v="2"/>
    <n v="30.45"/>
    <n v="0"/>
    <n v="60.9"/>
    <n v="38.43"/>
    <x v="1"/>
  </r>
  <r>
    <s v="ORD-10048"/>
    <x v="45"/>
    <s v="Thomas White"/>
    <x v="0"/>
    <s v="Mouse Wireless"/>
    <x v="0"/>
    <n v="1"/>
    <n v="54.46"/>
    <n v="10"/>
    <n v="49.01"/>
    <n v="8.35"/>
    <x v="0"/>
  </r>
  <r>
    <s v="ORD-10049"/>
    <x v="46"/>
    <s v="Jessica Jones"/>
    <x v="2"/>
    <s v="Blender"/>
    <x v="2"/>
    <n v="3"/>
    <n v="44.17"/>
    <n v="5"/>
    <n v="125.88"/>
    <n v="36.479999999999997"/>
    <x v="0"/>
  </r>
  <r>
    <s v="ORD-10050"/>
    <x v="47"/>
    <s v="Ashley Wilson"/>
    <x v="0"/>
    <s v="Knife Set"/>
    <x v="2"/>
    <n v="4"/>
    <n v="74.75"/>
    <n v="10"/>
    <n v="269.10000000000002"/>
    <n v="82.35"/>
    <x v="0"/>
  </r>
  <r>
    <s v="ORD-10051"/>
    <x v="48"/>
    <s v="Elizabeth Martinez"/>
    <x v="3"/>
    <s v="Desk Lamp"/>
    <x v="2"/>
    <n v="1"/>
    <n v="71.92"/>
    <n v="5"/>
    <n v="68.319999999999993"/>
    <n v="17.86"/>
    <x v="1"/>
  </r>
  <r>
    <s v="ORD-10052"/>
    <x v="49"/>
    <s v="Betty Harris"/>
    <x v="2"/>
    <s v="Nail Polish Set"/>
    <x v="1"/>
    <n v="5"/>
    <n v="34.380000000000003"/>
    <n v="0"/>
    <n v="171.9"/>
    <n v="92.35"/>
    <x v="0"/>
  </r>
  <r>
    <s v="ORD-10053"/>
    <x v="50"/>
    <s v="Matthew Jones"/>
    <x v="0"/>
    <s v="Dumbbells 10lb"/>
    <x v="4"/>
    <n v="2"/>
    <n v="57.17"/>
    <n v="0"/>
    <n v="114.34"/>
    <n v="31.56"/>
    <x v="1"/>
  </r>
  <r>
    <s v="ORD-10054"/>
    <x v="51"/>
    <s v="Anthony Ramirez"/>
    <x v="4"/>
    <s v="Nail Polish Set"/>
    <x v="1"/>
    <n v="1"/>
    <n v="31.46"/>
    <n v="0"/>
    <n v="31.46"/>
    <n v="14.92"/>
    <x v="1"/>
  </r>
  <r>
    <s v="ORD-10055"/>
    <x v="52"/>
    <s v="Donald Thomas"/>
    <x v="1"/>
    <s v="Keyboard Mechanical"/>
    <x v="0"/>
    <n v="1"/>
    <n v="128.88"/>
    <n v="0"/>
    <n v="128.88"/>
    <n v="23.02"/>
    <x v="0"/>
  </r>
  <r>
    <s v="ORD-10056"/>
    <x v="53"/>
    <s v="Robert Garcia"/>
    <x v="3"/>
    <s v="Athletic Socks"/>
    <x v="3"/>
    <n v="2"/>
    <n v="88.79"/>
    <n v="10"/>
    <n v="159.82"/>
    <n v="54.49"/>
    <x v="1"/>
  </r>
  <r>
    <s v="ORD-10057"/>
    <x v="54"/>
    <s v="Donna Ramirez"/>
    <x v="4"/>
    <s v="Knife Set"/>
    <x v="2"/>
    <n v="1"/>
    <n v="33.56"/>
    <n v="25"/>
    <n v="25.17"/>
    <n v="6.48"/>
    <x v="0"/>
  </r>
  <r>
    <s v="ORD-10058"/>
    <x v="55"/>
    <s v="Linda Perez"/>
    <x v="3"/>
    <s v="Sunscreen SPF50"/>
    <x v="1"/>
    <n v="2"/>
    <n v="8.81"/>
    <n v="10"/>
    <n v="15.86"/>
    <n v="6.42"/>
    <x v="1"/>
  </r>
  <r>
    <s v="ORD-10059"/>
    <x v="56"/>
    <s v="Ashley Brown"/>
    <x v="4"/>
    <s v="Yoga Pants"/>
    <x v="3"/>
    <n v="1"/>
    <n v="24.11"/>
    <n v="20"/>
    <n v="19.29"/>
    <n v="6.5"/>
    <x v="0"/>
  </r>
  <r>
    <s v="ORD-10060"/>
    <x v="57"/>
    <s v="Kimberly Miller"/>
    <x v="1"/>
    <s v="Throw Blanket"/>
    <x v="2"/>
    <n v="1"/>
    <n v="71.02"/>
    <n v="25"/>
    <n v="53.27"/>
    <n v="14.3"/>
    <x v="0"/>
  </r>
  <r>
    <s v="ORD-10061"/>
    <x v="58"/>
    <s v="Carol Lopez"/>
    <x v="4"/>
    <s v="Cotton T-Shirt"/>
    <x v="3"/>
    <n v="1"/>
    <n v="43.57"/>
    <n v="0"/>
    <n v="43.57"/>
    <n v="20.22"/>
    <x v="0"/>
  </r>
  <r>
    <s v="ORD-10062"/>
    <x v="45"/>
    <s v="Sandra Martinez"/>
    <x v="2"/>
    <s v="Smart Watch"/>
    <x v="0"/>
    <n v="4"/>
    <n v="109.81"/>
    <n v="0"/>
    <n v="439.24"/>
    <n v="94.96"/>
    <x v="0"/>
  </r>
  <r>
    <s v="ORD-10063"/>
    <x v="59"/>
    <s v="Carol Rodriguez"/>
    <x v="3"/>
    <s v="Sunscreen SPF50"/>
    <x v="1"/>
    <n v="2"/>
    <n v="12.96"/>
    <n v="20"/>
    <n v="20.74"/>
    <n v="8.7200000000000006"/>
    <x v="0"/>
  </r>
  <r>
    <s v="ORD-10064"/>
    <x v="60"/>
    <s v="Mark Smith"/>
    <x v="1"/>
    <s v="Cargo Shorts"/>
    <x v="3"/>
    <n v="2"/>
    <n v="23.98"/>
    <n v="0"/>
    <n v="47.96"/>
    <n v="15.87"/>
    <x v="0"/>
  </r>
  <r>
    <s v="ORD-10065"/>
    <x v="61"/>
    <s v="William Ramirez"/>
    <x v="2"/>
    <s v="Resistance Bands"/>
    <x v="4"/>
    <n v="4"/>
    <n v="49.25"/>
    <n v="0"/>
    <n v="197"/>
    <n v="32.43"/>
    <x v="1"/>
  </r>
  <r>
    <s v="ORD-10066"/>
    <x v="62"/>
    <s v="Ashley Martinez"/>
    <x v="4"/>
    <s v="Denim Jacket"/>
    <x v="3"/>
    <n v="1"/>
    <n v="30.67"/>
    <n v="15"/>
    <n v="26.07"/>
    <n v="11.49"/>
    <x v="0"/>
  </r>
  <r>
    <s v="ORD-10067"/>
    <x v="63"/>
    <s v="Kimberly Jones"/>
    <x v="1"/>
    <s v="Perfume Travel"/>
    <x v="1"/>
    <n v="4"/>
    <n v="31.05"/>
    <n v="5"/>
    <n v="117.99"/>
    <n v="59.73"/>
    <x v="0"/>
  </r>
  <r>
    <s v="ORD-10068"/>
    <x v="64"/>
    <s v="Betty Garcia"/>
    <x v="2"/>
    <s v="Cotton T-Shirt"/>
    <x v="3"/>
    <n v="3"/>
    <n v="87.22"/>
    <n v="5"/>
    <n v="248.58"/>
    <n v="85.85"/>
    <x v="0"/>
  </r>
  <r>
    <s v="ORD-10069"/>
    <x v="65"/>
    <s v="Andrew Hernandez"/>
    <x v="2"/>
    <s v="Cutting Board"/>
    <x v="2"/>
    <n v="1"/>
    <n v="77.239999999999995"/>
    <n v="0"/>
    <n v="77.239999999999995"/>
    <n v="16.18"/>
    <x v="0"/>
  </r>
  <r>
    <s v="ORD-10070"/>
    <x v="66"/>
    <s v="Richard Thomas"/>
    <x v="2"/>
    <s v="Perfume Travel"/>
    <x v="1"/>
    <n v="4"/>
    <n v="10.029999999999999"/>
    <n v="10"/>
    <n v="36.11"/>
    <n v="22.37"/>
    <x v="0"/>
  </r>
  <r>
    <s v="ORD-10071"/>
    <x v="67"/>
    <s v="Daniel Thomas"/>
    <x v="1"/>
    <s v="Sunscreen SPF50"/>
    <x v="1"/>
    <n v="2"/>
    <n v="13.14"/>
    <n v="0"/>
    <n v="26.28"/>
    <n v="16.63"/>
    <x v="0"/>
  </r>
  <r>
    <s v="ORD-10072"/>
    <x v="68"/>
    <s v="Betty Wilson"/>
    <x v="2"/>
    <s v="Dumbbells 10lb"/>
    <x v="4"/>
    <n v="1"/>
    <n v="48.97"/>
    <n v="10"/>
    <n v="44.07"/>
    <n v="6.91"/>
    <x v="2"/>
  </r>
  <r>
    <s v="ORD-10073"/>
    <x v="69"/>
    <s v="Susan Jackson"/>
    <x v="3"/>
    <s v="Blender"/>
    <x v="2"/>
    <n v="2"/>
    <n v="31.46"/>
    <n v="5"/>
    <n v="59.77"/>
    <n v="18.329999999999998"/>
    <x v="0"/>
  </r>
  <r>
    <s v="ORD-10074"/>
    <x v="70"/>
    <s v="Emily Smith"/>
    <x v="3"/>
    <s v="Jump Rope"/>
    <x v="4"/>
    <n v="2"/>
    <n v="36.630000000000003"/>
    <n v="5"/>
    <n v="69.599999999999994"/>
    <n v="19.16"/>
    <x v="0"/>
  </r>
  <r>
    <s v="ORD-10075"/>
    <x v="71"/>
    <s v="William Martinez"/>
    <x v="2"/>
    <s v="Face Moisturizer"/>
    <x v="1"/>
    <n v="2"/>
    <n v="24.36"/>
    <n v="0"/>
    <n v="48.72"/>
    <n v="29.97"/>
    <x v="1"/>
  </r>
  <r>
    <s v="ORD-10076"/>
    <x v="52"/>
    <s v="Joshua Smith"/>
    <x v="2"/>
    <s v="Door Mat"/>
    <x v="2"/>
    <n v="1"/>
    <n v="27.61"/>
    <n v="0"/>
    <n v="27.61"/>
    <n v="10.220000000000001"/>
    <x v="0"/>
  </r>
  <r>
    <s v="ORD-10077"/>
    <x v="64"/>
    <s v="Richard Smith"/>
    <x v="2"/>
    <s v="Wool Sweater"/>
    <x v="3"/>
    <n v="2"/>
    <n v="42.26"/>
    <n v="0"/>
    <n v="84.52"/>
    <n v="45.64"/>
    <x v="1"/>
  </r>
  <r>
    <s v="ORD-10078"/>
    <x v="72"/>
    <s v="Karen Anderson"/>
    <x v="3"/>
    <s v="Resistance Bands"/>
    <x v="4"/>
    <n v="5"/>
    <n v="58.49"/>
    <n v="5"/>
    <n v="277.83"/>
    <n v="69.03"/>
    <x v="0"/>
  </r>
  <r>
    <s v="ORD-10079"/>
    <x v="73"/>
    <s v="Nancy Martinez"/>
    <x v="1"/>
    <s v="Foam Roller"/>
    <x v="4"/>
    <n v="2"/>
    <n v="56.19"/>
    <n v="15"/>
    <n v="95.52"/>
    <n v="21.54"/>
    <x v="0"/>
  </r>
  <r>
    <s v="ORD-10080"/>
    <x v="74"/>
    <s v="Daniel Robinson"/>
    <x v="0"/>
    <s v="Knife Set"/>
    <x v="2"/>
    <n v="3"/>
    <n v="78.09"/>
    <n v="0"/>
    <n v="234.27"/>
    <n v="86.28"/>
    <x v="0"/>
  </r>
  <r>
    <s v="ORD-10081"/>
    <x v="75"/>
    <s v="Elizabeth Anderson"/>
    <x v="4"/>
    <s v="Hair Oil"/>
    <x v="1"/>
    <n v="2"/>
    <n v="42.15"/>
    <n v="15"/>
    <n v="71.66"/>
    <n v="31.05"/>
    <x v="0"/>
  </r>
  <r>
    <s v="ORD-10082"/>
    <x v="76"/>
    <s v="Steven Harris"/>
    <x v="1"/>
    <s v="Wool Sweater"/>
    <x v="3"/>
    <n v="2"/>
    <n v="26.99"/>
    <n v="0"/>
    <n v="53.98"/>
    <n v="17.75"/>
    <x v="0"/>
  </r>
  <r>
    <s v="ORD-10083"/>
    <x v="77"/>
    <s v="Sandra Thomas"/>
    <x v="0"/>
    <s v="Coffee Maker"/>
    <x v="2"/>
    <n v="2"/>
    <n v="24.4"/>
    <n v="0"/>
    <n v="48.8"/>
    <n v="14.69"/>
    <x v="1"/>
  </r>
  <r>
    <s v="ORD-10084"/>
    <x v="78"/>
    <s v="Karen Miller"/>
    <x v="3"/>
    <s v="Nail Polish Set"/>
    <x v="1"/>
    <n v="1"/>
    <n v="7.63"/>
    <n v="10"/>
    <n v="6.87"/>
    <n v="3.87"/>
    <x v="1"/>
  </r>
  <r>
    <s v="ORD-10085"/>
    <x v="79"/>
    <s v="Mark Thomas"/>
    <x v="4"/>
    <s v="Face Mask Pack"/>
    <x v="1"/>
    <n v="2"/>
    <n v="16.14"/>
    <n v="0"/>
    <n v="32.28"/>
    <n v="13.98"/>
    <x v="0"/>
  </r>
  <r>
    <s v="ORD-10086"/>
    <x v="80"/>
    <s v="Kevin Taylor"/>
    <x v="3"/>
    <s v="Pillow Set"/>
    <x v="2"/>
    <n v="5"/>
    <n v="17.170000000000002"/>
    <n v="5"/>
    <n v="81.56"/>
    <n v="29.99"/>
    <x v="1"/>
  </r>
  <r>
    <s v="ORD-10087"/>
    <x v="81"/>
    <s v="Thomas White"/>
    <x v="3"/>
    <s v="Face Mask Pack"/>
    <x v="1"/>
    <n v="1"/>
    <n v="29.91"/>
    <n v="15"/>
    <n v="25.42"/>
    <n v="10.19"/>
    <x v="1"/>
  </r>
  <r>
    <s v="ORD-10088"/>
    <x v="82"/>
    <s v="Matthew Taylor"/>
    <x v="2"/>
    <s v="Water Bottle"/>
    <x v="4"/>
    <n v="3"/>
    <n v="46.74"/>
    <n v="25"/>
    <n v="105.17"/>
    <n v="21.88"/>
    <x v="1"/>
  </r>
  <r>
    <s v="ORD-10089"/>
    <x v="83"/>
    <s v="Kimberly Martinez"/>
    <x v="3"/>
    <s v="Yoga Pants"/>
    <x v="3"/>
    <n v="1"/>
    <n v="42.57"/>
    <n v="10"/>
    <n v="38.31"/>
    <n v="19.309999999999999"/>
    <x v="0"/>
  </r>
  <r>
    <s v="ORD-10090"/>
    <x v="84"/>
    <s v="Betty Anderson"/>
    <x v="0"/>
    <s v="Perfume Travel"/>
    <x v="1"/>
    <n v="2"/>
    <n v="39.74"/>
    <n v="10"/>
    <n v="71.53"/>
    <n v="33.369999999999997"/>
    <x v="0"/>
  </r>
  <r>
    <s v="ORD-10091"/>
    <x v="85"/>
    <s v="Michelle Smith"/>
    <x v="1"/>
    <s v="Smart Watch"/>
    <x v="0"/>
    <n v="4"/>
    <n v="135.07"/>
    <n v="5"/>
    <n v="513.27"/>
    <n v="108.92"/>
    <x v="1"/>
  </r>
  <r>
    <s v="ORD-10092"/>
    <x v="35"/>
    <s v="Daniel Lewis"/>
    <x v="2"/>
    <s v="Yoga Mat"/>
    <x v="4"/>
    <n v="4"/>
    <n v="54.88"/>
    <n v="10"/>
    <n v="197.57"/>
    <n v="54.5"/>
    <x v="0"/>
  </r>
  <r>
    <s v="ORD-10093"/>
    <x v="86"/>
    <s v="Linda Lee"/>
    <x v="1"/>
    <s v="Hair Oil"/>
    <x v="1"/>
    <n v="1"/>
    <n v="30.87"/>
    <n v="0"/>
    <n v="30.87"/>
    <n v="14.97"/>
    <x v="0"/>
  </r>
  <r>
    <s v="ORD-10094"/>
    <x v="87"/>
    <s v="Susan Garcia"/>
    <x v="1"/>
    <s v="Face Moisturizer"/>
    <x v="1"/>
    <n v="1"/>
    <n v="32.869999999999997"/>
    <n v="10"/>
    <n v="29.58"/>
    <n v="15.59"/>
    <x v="1"/>
  </r>
  <r>
    <s v="ORD-10095"/>
    <x v="19"/>
    <s v="Donna Wilson"/>
    <x v="2"/>
    <s v="Running Shoes"/>
    <x v="3"/>
    <n v="1"/>
    <n v="70.489999999999995"/>
    <n v="0"/>
    <n v="70.489999999999995"/>
    <n v="38.74"/>
    <x v="1"/>
  </r>
  <r>
    <s v="ORD-10096"/>
    <x v="88"/>
    <s v="Anthony Lee"/>
    <x v="3"/>
    <s v="Water Bottle"/>
    <x v="4"/>
    <n v="2"/>
    <n v="36.159999999999997"/>
    <n v="5"/>
    <n v="68.7"/>
    <n v="12.64"/>
    <x v="1"/>
  </r>
  <r>
    <s v="ORD-10097"/>
    <x v="89"/>
    <s v="Andrew Taylor"/>
    <x v="2"/>
    <s v="Mouse Wireless"/>
    <x v="0"/>
    <n v="2"/>
    <n v="49.19"/>
    <n v="0"/>
    <n v="98.38"/>
    <n v="20.98"/>
    <x v="1"/>
  </r>
  <r>
    <s v="ORD-10098"/>
    <x v="90"/>
    <s v="Karen Garcia"/>
    <x v="3"/>
    <s v="Cargo Shorts"/>
    <x v="3"/>
    <n v="2"/>
    <n v="30.53"/>
    <n v="10"/>
    <n v="54.95"/>
    <n v="20.67"/>
    <x v="2"/>
  </r>
  <r>
    <s v="ORD-10099"/>
    <x v="91"/>
    <s v="Ashley Davis"/>
    <x v="3"/>
    <s v="Door Mat"/>
    <x v="2"/>
    <n v="2"/>
    <n v="28.99"/>
    <n v="5"/>
    <n v="55.08"/>
    <n v="19.32"/>
    <x v="0"/>
  </r>
  <r>
    <s v="ORD-10100"/>
    <x v="92"/>
    <s v="Steven White"/>
    <x v="4"/>
    <s v="Yoga Mat"/>
    <x v="4"/>
    <n v="3"/>
    <n v="35.979999999999997"/>
    <n v="20"/>
    <n v="86.35"/>
    <n v="28.22"/>
    <x v="0"/>
  </r>
  <r>
    <s v="ORD-10101"/>
    <x v="93"/>
    <s v="Karen Williams"/>
    <x v="3"/>
    <s v="Denim Jacket"/>
    <x v="3"/>
    <n v="2"/>
    <n v="34.590000000000003"/>
    <n v="0"/>
    <n v="69.180000000000007"/>
    <n v="33.340000000000003"/>
    <x v="0"/>
  </r>
  <r>
    <s v="ORD-10102"/>
    <x v="94"/>
    <s v="Andrew Gonzalez"/>
    <x v="4"/>
    <s v="Dumbbells 10lb"/>
    <x v="4"/>
    <n v="1"/>
    <n v="16.12"/>
    <n v="0"/>
    <n v="16.12"/>
    <n v="4.96"/>
    <x v="0"/>
  </r>
  <r>
    <s v="ORD-10103"/>
    <x v="95"/>
    <s v="Christopher Brown"/>
    <x v="1"/>
    <s v="Cycling Gloves"/>
    <x v="4"/>
    <n v="3"/>
    <n v="57.41"/>
    <n v="10"/>
    <n v="155.01"/>
    <n v="37.25"/>
    <x v="1"/>
  </r>
  <r>
    <s v="ORD-10104"/>
    <x v="96"/>
    <s v="Emily Lee"/>
    <x v="1"/>
    <s v="Eye Cream"/>
    <x v="1"/>
    <n v="1"/>
    <n v="22.95"/>
    <n v="0"/>
    <n v="22.95"/>
    <n v="12.81"/>
    <x v="0"/>
  </r>
  <r>
    <s v="ORD-10105"/>
    <x v="97"/>
    <s v="Betty Robinson"/>
    <x v="3"/>
    <s v="Cycling Gloves"/>
    <x v="4"/>
    <n v="4"/>
    <n v="27.41"/>
    <n v="0"/>
    <n v="109.64"/>
    <n v="37.229999999999997"/>
    <x v="0"/>
  </r>
  <r>
    <s v="ORD-10106"/>
    <x v="98"/>
    <s v="Barbara Lewis"/>
    <x v="2"/>
    <s v="Yoga Pants"/>
    <x v="3"/>
    <n v="1"/>
    <n v="20.79"/>
    <n v="20"/>
    <n v="16.63"/>
    <n v="6.47"/>
    <x v="2"/>
  </r>
  <r>
    <s v="ORD-10107"/>
    <x v="99"/>
    <s v="Elizabeth Sanchez"/>
    <x v="4"/>
    <s v="Smart Watch"/>
    <x v="0"/>
    <n v="4"/>
    <n v="101.95"/>
    <n v="5"/>
    <n v="387.41"/>
    <n v="60.64"/>
    <x v="2"/>
  </r>
  <r>
    <s v="ORD-10108"/>
    <x v="100"/>
    <s v="Mary Jones"/>
    <x v="0"/>
    <s v="Blender"/>
    <x v="2"/>
    <n v="2"/>
    <n v="34.56"/>
    <n v="0"/>
    <n v="69.12"/>
    <n v="24.79"/>
    <x v="1"/>
  </r>
  <r>
    <s v="ORD-10109"/>
    <x v="101"/>
    <s v="Matthew Martinez"/>
    <x v="4"/>
    <s v="USB-C Hub"/>
    <x v="0"/>
    <n v="4"/>
    <n v="95.37"/>
    <n v="20"/>
    <n v="305.18"/>
    <n v="74.25"/>
    <x v="1"/>
  </r>
  <r>
    <s v="ORD-10110"/>
    <x v="102"/>
    <s v="Joseph Sanchez"/>
    <x v="2"/>
    <s v="Nail Polish Set"/>
    <x v="1"/>
    <n v="4"/>
    <n v="29.19"/>
    <n v="0"/>
    <n v="116.76"/>
    <n v="67.58"/>
    <x v="0"/>
  </r>
  <r>
    <s v="ORD-10111"/>
    <x v="103"/>
    <s v="Robert Hernandez"/>
    <x v="4"/>
    <s v="Storage Bins"/>
    <x v="2"/>
    <n v="1"/>
    <n v="30.64"/>
    <n v="0"/>
    <n v="30.64"/>
    <n v="8.33"/>
    <x v="0"/>
  </r>
  <r>
    <s v="ORD-10112"/>
    <x v="104"/>
    <s v="Lisa Lee"/>
    <x v="1"/>
    <s v="Running Shoes"/>
    <x v="3"/>
    <n v="3"/>
    <n v="64.069999999999993"/>
    <n v="0"/>
    <n v="192.21"/>
    <n v="78.680000000000007"/>
    <x v="1"/>
  </r>
  <r>
    <s v="ORD-10113"/>
    <x v="105"/>
    <s v="Barbara Wilson"/>
    <x v="3"/>
    <s v="Lip Balm Set"/>
    <x v="1"/>
    <n v="2"/>
    <n v="39.520000000000003"/>
    <n v="10"/>
    <n v="71.14"/>
    <n v="35.74"/>
    <x v="1"/>
  </r>
  <r>
    <s v="ORD-10114"/>
    <x v="106"/>
    <s v="Susan Clark"/>
    <x v="3"/>
    <s v="Wool Sweater"/>
    <x v="3"/>
    <n v="1"/>
    <n v="55.21"/>
    <n v="5"/>
    <n v="52.45"/>
    <n v="17.53"/>
    <x v="0"/>
  </r>
  <r>
    <s v="ORD-10115"/>
    <x v="107"/>
    <s v="Karen Moore"/>
    <x v="4"/>
    <s v="Cutting Board"/>
    <x v="2"/>
    <n v="2"/>
    <n v="74.47"/>
    <n v="0"/>
    <n v="148.94"/>
    <n v="52.71"/>
    <x v="1"/>
  </r>
  <r>
    <s v="ORD-10116"/>
    <x v="108"/>
    <s v="Kenneth Brown"/>
    <x v="0"/>
    <s v="Knife Set"/>
    <x v="2"/>
    <n v="2"/>
    <n v="59.63"/>
    <n v="15"/>
    <n v="101.37"/>
    <n v="32.58"/>
    <x v="0"/>
  </r>
  <r>
    <s v="ORD-10117"/>
    <x v="109"/>
    <s v="Dorothy Rodriguez"/>
    <x v="2"/>
    <s v="Pillow Set"/>
    <x v="2"/>
    <n v="4"/>
    <n v="65.540000000000006"/>
    <n v="25"/>
    <n v="196.62"/>
    <n v="64.39"/>
    <x v="2"/>
  </r>
  <r>
    <s v="ORD-10118"/>
    <x v="110"/>
    <s v="Richard Brown"/>
    <x v="1"/>
    <s v="Door Mat"/>
    <x v="2"/>
    <n v="2"/>
    <n v="36.43"/>
    <n v="0"/>
    <n v="72.86"/>
    <n v="26.73"/>
    <x v="1"/>
  </r>
  <r>
    <s v="ORD-10119"/>
    <x v="111"/>
    <s v="Jennifer Martinez"/>
    <x v="4"/>
    <s v="Keyboard Mechanical"/>
    <x v="0"/>
    <n v="1"/>
    <n v="114.13"/>
    <n v="15"/>
    <n v="97.01"/>
    <n v="8.17"/>
    <x v="1"/>
  </r>
  <r>
    <s v="ORD-10120"/>
    <x v="112"/>
    <s v="Jessica Thompson"/>
    <x v="0"/>
    <s v="Cycling Gloves"/>
    <x v="4"/>
    <n v="3"/>
    <n v="26.78"/>
    <n v="0"/>
    <n v="80.34"/>
    <n v="12.66"/>
    <x v="0"/>
  </r>
  <r>
    <s v="ORD-10121"/>
    <x v="113"/>
    <s v="Emily Davis"/>
    <x v="2"/>
    <s v="Yoga Mat"/>
    <x v="4"/>
    <n v="4"/>
    <n v="56.37"/>
    <n v="10"/>
    <n v="202.93"/>
    <n v="65.03"/>
    <x v="2"/>
  </r>
  <r>
    <s v="ORD-10122"/>
    <x v="114"/>
    <s v="Joshua Davis"/>
    <x v="4"/>
    <s v="Tennis Balls"/>
    <x v="4"/>
    <n v="2"/>
    <n v="59.53"/>
    <n v="5"/>
    <n v="113.11"/>
    <n v="32.479999999999997"/>
    <x v="0"/>
  </r>
  <r>
    <s v="ORD-10123"/>
    <x v="115"/>
    <s v="Linda Lee"/>
    <x v="3"/>
    <s v="Jump Rope"/>
    <x v="4"/>
    <n v="3"/>
    <n v="27.02"/>
    <n v="5"/>
    <n v="77.010000000000005"/>
    <n v="14.22"/>
    <x v="0"/>
  </r>
  <r>
    <s v="ORD-10124"/>
    <x v="116"/>
    <s v="Robert Williams"/>
    <x v="4"/>
    <s v="Knife Set"/>
    <x v="2"/>
    <n v="2"/>
    <n v="19.59"/>
    <n v="10"/>
    <n v="35.26"/>
    <n v="8.66"/>
    <x v="1"/>
  </r>
  <r>
    <s v="ORD-10125"/>
    <x v="117"/>
    <s v="Robert Smith"/>
    <x v="1"/>
    <s v="Tablet Case"/>
    <x v="0"/>
    <n v="2"/>
    <n v="22.59"/>
    <n v="10"/>
    <n v="40.659999999999997"/>
    <n v="5.5"/>
    <x v="1"/>
  </r>
  <r>
    <s v="ORD-10126"/>
    <x v="118"/>
    <s v="Richard Thompson"/>
    <x v="3"/>
    <s v="Nail Polish Set"/>
    <x v="1"/>
    <n v="1"/>
    <n v="25.17"/>
    <n v="15"/>
    <n v="21.39"/>
    <n v="10.61"/>
    <x v="0"/>
  </r>
  <r>
    <s v="ORD-10127"/>
    <x v="119"/>
    <s v="Mary Anderson"/>
    <x v="4"/>
    <s v="Cotton T-Shirt"/>
    <x v="3"/>
    <n v="1"/>
    <n v="89.58"/>
    <n v="5"/>
    <n v="85.1"/>
    <n v="36.68"/>
    <x v="0"/>
  </r>
  <r>
    <s v="ORD-10128"/>
    <x v="28"/>
    <s v="Kevin Martin"/>
    <x v="4"/>
    <s v="Dumbbells 10lb"/>
    <x v="4"/>
    <n v="2"/>
    <n v="41.3"/>
    <n v="15"/>
    <n v="70.209999999999994"/>
    <n v="11.18"/>
    <x v="1"/>
  </r>
  <r>
    <s v="ORD-10129"/>
    <x v="120"/>
    <s v="Emily Williams"/>
    <x v="1"/>
    <s v="Resistance Bands"/>
    <x v="4"/>
    <n v="2"/>
    <n v="11.27"/>
    <n v="0"/>
    <n v="22.54"/>
    <n v="5.97"/>
    <x v="0"/>
  </r>
  <r>
    <s v="ORD-10130"/>
    <x v="121"/>
    <s v="Emily Davis"/>
    <x v="0"/>
    <s v="Wireless Headphones"/>
    <x v="0"/>
    <n v="3"/>
    <n v="147.49"/>
    <n v="15"/>
    <n v="376.1"/>
    <n v="93.84"/>
    <x v="1"/>
  </r>
  <r>
    <s v="ORD-10131"/>
    <x v="122"/>
    <s v="Kevin Martinez"/>
    <x v="4"/>
    <s v="Sunscreen SPF50"/>
    <x v="1"/>
    <n v="3"/>
    <n v="32.04"/>
    <n v="25"/>
    <n v="72.09"/>
    <n v="42.03"/>
    <x v="0"/>
  </r>
  <r>
    <s v="ORD-10132"/>
    <x v="123"/>
    <s v="Betty Lee"/>
    <x v="0"/>
    <s v="Lip Balm Set"/>
    <x v="1"/>
    <n v="1"/>
    <n v="38.64"/>
    <n v="10"/>
    <n v="34.78"/>
    <n v="19.93"/>
    <x v="2"/>
  </r>
  <r>
    <s v="ORD-10133"/>
    <x v="124"/>
    <s v="Ashley Johnson"/>
    <x v="2"/>
    <s v="Blender"/>
    <x v="2"/>
    <n v="3"/>
    <n v="74.02"/>
    <n v="0"/>
    <n v="222.06"/>
    <n v="88.02"/>
    <x v="1"/>
  </r>
  <r>
    <s v="ORD-10134"/>
    <x v="20"/>
    <s v="Richard Anderson"/>
    <x v="0"/>
    <s v="Foam Roller"/>
    <x v="4"/>
    <n v="3"/>
    <n v="19.63"/>
    <n v="5"/>
    <n v="55.95"/>
    <n v="18.489999999999998"/>
    <x v="2"/>
  </r>
  <r>
    <s v="ORD-10135"/>
    <x v="63"/>
    <s v="Emily Martin"/>
    <x v="2"/>
    <s v="Nail Polish Set"/>
    <x v="1"/>
    <n v="3"/>
    <n v="39.61"/>
    <n v="10"/>
    <n v="106.95"/>
    <n v="48.94"/>
    <x v="0"/>
  </r>
  <r>
    <s v="ORD-10136"/>
    <x v="125"/>
    <s v="Barbara Martinez"/>
    <x v="2"/>
    <s v="Eye Cream"/>
    <x v="1"/>
    <n v="2"/>
    <n v="47.91"/>
    <n v="0"/>
    <n v="95.82"/>
    <n v="45.87"/>
    <x v="0"/>
  </r>
  <r>
    <s v="ORD-10137"/>
    <x v="126"/>
    <s v="Michael Ramirez"/>
    <x v="4"/>
    <s v="Wool Sweater"/>
    <x v="3"/>
    <n v="1"/>
    <n v="50.57"/>
    <n v="5"/>
    <n v="48.04"/>
    <n v="15.43"/>
    <x v="1"/>
  </r>
  <r>
    <s v="ORD-10138"/>
    <x v="127"/>
    <s v="Joseph Jones"/>
    <x v="3"/>
    <s v="Sunscreen SPF50"/>
    <x v="1"/>
    <n v="2"/>
    <n v="11.41"/>
    <n v="20"/>
    <n v="18.260000000000002"/>
    <n v="10.65"/>
    <x v="1"/>
  </r>
  <r>
    <s v="ORD-10139"/>
    <x v="128"/>
    <s v="Matthew Johnson"/>
    <x v="0"/>
    <s v="Cutting Board"/>
    <x v="2"/>
    <n v="2"/>
    <n v="65.010000000000005"/>
    <n v="5"/>
    <n v="123.52"/>
    <n v="43.08"/>
    <x v="0"/>
  </r>
  <r>
    <s v="ORD-10140"/>
    <x v="129"/>
    <s v="Robert Clark"/>
    <x v="3"/>
    <s v="Cutting Board"/>
    <x v="2"/>
    <n v="1"/>
    <n v="21.57"/>
    <n v="10"/>
    <n v="19.41"/>
    <n v="4.3499999999999996"/>
    <x v="1"/>
  </r>
  <r>
    <s v="ORD-10141"/>
    <x v="130"/>
    <s v="Richard Lee"/>
    <x v="0"/>
    <s v="Throw Blanket"/>
    <x v="2"/>
    <n v="4"/>
    <n v="62.74"/>
    <n v="15"/>
    <n v="213.32"/>
    <n v="63.93"/>
    <x v="0"/>
  </r>
  <r>
    <s v="ORD-10142"/>
    <x v="131"/>
    <s v="Daniel Robinson"/>
    <x v="1"/>
    <s v="Blender"/>
    <x v="2"/>
    <n v="1"/>
    <n v="22.64"/>
    <n v="0"/>
    <n v="22.64"/>
    <n v="8.39"/>
    <x v="0"/>
  </r>
  <r>
    <s v="ORD-10143"/>
    <x v="56"/>
    <s v="Linda Martinez"/>
    <x v="1"/>
    <s v="Running Shoes"/>
    <x v="3"/>
    <n v="1"/>
    <n v="21.2"/>
    <n v="0"/>
    <n v="21.2"/>
    <n v="6.81"/>
    <x v="0"/>
  </r>
  <r>
    <s v="ORD-10144"/>
    <x v="132"/>
    <s v="Richard Gonzalez"/>
    <x v="0"/>
    <s v="Running Shoes"/>
    <x v="3"/>
    <n v="2"/>
    <n v="29.84"/>
    <n v="25"/>
    <n v="44.76"/>
    <n v="13.79"/>
    <x v="1"/>
  </r>
  <r>
    <s v="ORD-10145"/>
    <x v="133"/>
    <s v="Barbara Lee"/>
    <x v="3"/>
    <s v="Door Mat"/>
    <x v="2"/>
    <n v="1"/>
    <n v="30.6"/>
    <n v="5"/>
    <n v="29.07"/>
    <n v="9.36"/>
    <x v="1"/>
  </r>
  <r>
    <s v="ORD-10146"/>
    <x v="134"/>
    <s v="Sarah Clark"/>
    <x v="1"/>
    <s v="Face Moisturizer"/>
    <x v="1"/>
    <n v="1"/>
    <n v="49.22"/>
    <n v="15"/>
    <n v="41.84"/>
    <n v="23.82"/>
    <x v="1"/>
  </r>
  <r>
    <s v="ORD-10147"/>
    <x v="135"/>
    <s v="Mary Thomas"/>
    <x v="1"/>
    <s v="Yoga Pants"/>
    <x v="3"/>
    <n v="2"/>
    <n v="48.95"/>
    <n v="5"/>
    <n v="93.01"/>
    <n v="43.42"/>
    <x v="0"/>
  </r>
  <r>
    <s v="ORD-10148"/>
    <x v="136"/>
    <s v="Thomas Smith"/>
    <x v="1"/>
    <s v="Body Lotion"/>
    <x v="1"/>
    <n v="1"/>
    <n v="36"/>
    <n v="15"/>
    <n v="30.6"/>
    <n v="12.33"/>
    <x v="0"/>
  </r>
  <r>
    <s v="ORD-10149"/>
    <x v="137"/>
    <s v="Thomas Brown"/>
    <x v="4"/>
    <s v="Perfume Travel"/>
    <x v="1"/>
    <n v="2"/>
    <n v="48.98"/>
    <n v="10"/>
    <n v="88.16"/>
    <n v="40.270000000000003"/>
    <x v="1"/>
  </r>
  <r>
    <s v="ORD-10150"/>
    <x v="138"/>
    <s v="Emily Thompson"/>
    <x v="4"/>
    <s v="Running Shoes"/>
    <x v="3"/>
    <n v="5"/>
    <n v="28.93"/>
    <n v="0"/>
    <n v="144.65"/>
    <n v="77.59"/>
    <x v="1"/>
  </r>
  <r>
    <s v="ORD-10151"/>
    <x v="139"/>
    <s v="Kimberly Wilson"/>
    <x v="2"/>
    <s v="Yoga Pants"/>
    <x v="3"/>
    <n v="2"/>
    <n v="81.45"/>
    <n v="10"/>
    <n v="146.61000000000001"/>
    <n v="69.739999999999995"/>
    <x v="0"/>
  </r>
  <r>
    <s v="ORD-10152"/>
    <x v="140"/>
    <s v="Donald Brown"/>
    <x v="1"/>
    <s v="Yoga Mat"/>
    <x v="4"/>
    <n v="2"/>
    <n v="19.55"/>
    <n v="20"/>
    <n v="31.28"/>
    <n v="8.26"/>
    <x v="1"/>
  </r>
  <r>
    <s v="ORD-10153"/>
    <x v="124"/>
    <s v="James Brown"/>
    <x v="4"/>
    <s v="Perfume Travel"/>
    <x v="1"/>
    <n v="3"/>
    <n v="13.1"/>
    <n v="0"/>
    <n v="39.299999999999997"/>
    <n v="22.8"/>
    <x v="0"/>
  </r>
  <r>
    <s v="ORD-10154"/>
    <x v="141"/>
    <s v="Sandra Lopez"/>
    <x v="2"/>
    <s v="Body Lotion"/>
    <x v="1"/>
    <n v="2"/>
    <n v="49.5"/>
    <n v="0"/>
    <n v="99"/>
    <n v="61.54"/>
    <x v="1"/>
  </r>
  <r>
    <s v="ORD-10155"/>
    <x v="53"/>
    <s v="Michelle Thompson"/>
    <x v="0"/>
    <s v="Webcam HD"/>
    <x v="0"/>
    <n v="2"/>
    <n v="141.15"/>
    <n v="20"/>
    <n v="225.84"/>
    <n v="40.67"/>
    <x v="0"/>
  </r>
  <r>
    <s v="ORD-10156"/>
    <x v="142"/>
    <s v="Daniel Johnson"/>
    <x v="0"/>
    <s v="Nail Polish Set"/>
    <x v="1"/>
    <n v="4"/>
    <n v="16.170000000000002"/>
    <n v="10"/>
    <n v="58.21"/>
    <n v="25.95"/>
    <x v="0"/>
  </r>
  <r>
    <s v="ORD-10157"/>
    <x v="143"/>
    <s v="Mary Miller"/>
    <x v="2"/>
    <s v="Throw Blanket"/>
    <x v="2"/>
    <n v="2"/>
    <n v="78.63"/>
    <n v="0"/>
    <n v="157.26"/>
    <n v="51.91"/>
    <x v="0"/>
  </r>
  <r>
    <s v="ORD-10158"/>
    <x v="144"/>
    <s v="Robert Robinson"/>
    <x v="4"/>
    <s v="USB-C Hub"/>
    <x v="0"/>
    <n v="3"/>
    <n v="104.59"/>
    <n v="15"/>
    <n v="266.7"/>
    <n v="23.88"/>
    <x v="0"/>
  </r>
  <r>
    <s v="ORD-10159"/>
    <x v="145"/>
    <s v="Jessica Ramirez"/>
    <x v="4"/>
    <s v="Dumbbells 10lb"/>
    <x v="4"/>
    <n v="1"/>
    <n v="30.37"/>
    <n v="10"/>
    <n v="27.33"/>
    <n v="6.25"/>
    <x v="0"/>
  </r>
  <r>
    <s v="ORD-10160"/>
    <x v="146"/>
    <s v="Joshua Harris"/>
    <x v="0"/>
    <s v="Lip Balm Set"/>
    <x v="1"/>
    <n v="1"/>
    <n v="13.06"/>
    <n v="0"/>
    <n v="13.06"/>
    <n v="7.96"/>
    <x v="0"/>
  </r>
  <r>
    <s v="ORD-10161"/>
    <x v="147"/>
    <s v="Elizabeth Jackson"/>
    <x v="2"/>
    <s v="Rain Jacket"/>
    <x v="3"/>
    <n v="2"/>
    <n v="71.77"/>
    <n v="25"/>
    <n v="107.66"/>
    <n v="53.41"/>
    <x v="1"/>
  </r>
  <r>
    <s v="ORD-10162"/>
    <x v="148"/>
    <s v="Daniel Jackson"/>
    <x v="1"/>
    <s v="Throw Blanket"/>
    <x v="2"/>
    <n v="3"/>
    <n v="59.98"/>
    <n v="0"/>
    <n v="179.94"/>
    <n v="60.63"/>
    <x v="1"/>
  </r>
  <r>
    <s v="ORD-10163"/>
    <x v="21"/>
    <s v="Elizabeth Williams"/>
    <x v="0"/>
    <s v="Face Mask Pack"/>
    <x v="1"/>
    <n v="1"/>
    <n v="48.84"/>
    <n v="25"/>
    <n v="36.630000000000003"/>
    <n v="18"/>
    <x v="0"/>
  </r>
  <r>
    <s v="ORD-10164"/>
    <x v="82"/>
    <s v="Richard Martinez"/>
    <x v="1"/>
    <s v="Throw Blanket"/>
    <x v="2"/>
    <n v="3"/>
    <n v="23.35"/>
    <n v="5"/>
    <n v="66.55"/>
    <n v="16.71"/>
    <x v="0"/>
  </r>
  <r>
    <s v="ORD-10165"/>
    <x v="149"/>
    <s v="Mark Miller"/>
    <x v="4"/>
    <s v="Yoga Mat"/>
    <x v="4"/>
    <n v="4"/>
    <n v="48.62"/>
    <n v="15"/>
    <n v="165.31"/>
    <n v="26.46"/>
    <x v="0"/>
  </r>
  <r>
    <s v="ORD-10166"/>
    <x v="150"/>
    <s v="Kimberly Martin"/>
    <x v="1"/>
    <s v="Dumbbells 10lb"/>
    <x v="4"/>
    <n v="1"/>
    <n v="48.3"/>
    <n v="10"/>
    <n v="43.47"/>
    <n v="10.06"/>
    <x v="0"/>
  </r>
  <r>
    <s v="ORD-10167"/>
    <x v="75"/>
    <s v="Ashley Thompson"/>
    <x v="0"/>
    <s v="Body Lotion"/>
    <x v="1"/>
    <n v="3"/>
    <n v="14.71"/>
    <n v="5"/>
    <n v="41.92"/>
    <n v="23.23"/>
    <x v="0"/>
  </r>
  <r>
    <s v="ORD-10168"/>
    <x v="98"/>
    <s v="Matthew Thomas"/>
    <x v="3"/>
    <s v="Smart Watch"/>
    <x v="0"/>
    <n v="1"/>
    <n v="74.36"/>
    <n v="5"/>
    <n v="70.64"/>
    <n v="11.78"/>
    <x v="0"/>
  </r>
  <r>
    <s v="ORD-10169"/>
    <x v="151"/>
    <s v="Betty Lewis"/>
    <x v="0"/>
    <s v="Wireless Headphones"/>
    <x v="0"/>
    <n v="1"/>
    <n v="86.89"/>
    <n v="20"/>
    <n v="69.510000000000005"/>
    <n v="15.56"/>
    <x v="1"/>
  </r>
  <r>
    <s v="ORD-10170"/>
    <x v="104"/>
    <s v="Nancy Lopez"/>
    <x v="2"/>
    <s v="Perfume Travel"/>
    <x v="1"/>
    <n v="2"/>
    <n v="26.41"/>
    <n v="5"/>
    <n v="50.18"/>
    <n v="21.37"/>
    <x v="1"/>
  </r>
  <r>
    <s v="ORD-10171"/>
    <x v="152"/>
    <s v="Sandra Thompson"/>
    <x v="4"/>
    <s v="Door Mat"/>
    <x v="2"/>
    <n v="2"/>
    <n v="55.17"/>
    <n v="5"/>
    <n v="104.82"/>
    <n v="22.41"/>
    <x v="0"/>
  </r>
  <r>
    <s v="ORD-10172"/>
    <x v="153"/>
    <s v="Richard Thompson"/>
    <x v="3"/>
    <s v="Yoga Mat"/>
    <x v="4"/>
    <n v="1"/>
    <n v="39.69"/>
    <n v="15"/>
    <n v="33.74"/>
    <n v="8.82"/>
    <x v="0"/>
  </r>
  <r>
    <s v="ORD-10173"/>
    <x v="47"/>
    <s v="Carol Johnson"/>
    <x v="3"/>
    <s v="Running Shoes"/>
    <x v="3"/>
    <n v="3"/>
    <n v="66.8"/>
    <n v="10"/>
    <n v="180.36"/>
    <n v="85.36"/>
    <x v="0"/>
  </r>
  <r>
    <s v="ORD-10174"/>
    <x v="154"/>
    <s v="William Williams"/>
    <x v="2"/>
    <s v="Athletic Socks"/>
    <x v="3"/>
    <n v="1"/>
    <n v="45.6"/>
    <n v="0"/>
    <n v="45.6"/>
    <n v="21.05"/>
    <x v="0"/>
  </r>
  <r>
    <s v="ORD-10175"/>
    <x v="155"/>
    <s v="Richard Brown"/>
    <x v="3"/>
    <s v="Eye Cream"/>
    <x v="1"/>
    <n v="2"/>
    <n v="25.7"/>
    <n v="5"/>
    <n v="48.83"/>
    <n v="20.12"/>
    <x v="2"/>
  </r>
  <r>
    <s v="ORD-10176"/>
    <x v="156"/>
    <s v="Susan Johnson"/>
    <x v="1"/>
    <s v="Rain Jacket"/>
    <x v="3"/>
    <n v="1"/>
    <n v="68.930000000000007"/>
    <n v="0"/>
    <n v="68.930000000000007"/>
    <n v="31.63"/>
    <x v="2"/>
  </r>
  <r>
    <s v="ORD-10177"/>
    <x v="123"/>
    <s v="William Davis"/>
    <x v="3"/>
    <s v="Yoga Mat"/>
    <x v="4"/>
    <n v="3"/>
    <n v="44.99"/>
    <n v="10"/>
    <n v="121.47"/>
    <n v="29.29"/>
    <x v="0"/>
  </r>
  <r>
    <s v="ORD-10178"/>
    <x v="157"/>
    <s v="Carol Sanchez"/>
    <x v="1"/>
    <s v="Lip Balm Set"/>
    <x v="1"/>
    <n v="2"/>
    <n v="44.77"/>
    <n v="5"/>
    <n v="85.06"/>
    <n v="38.229999999999997"/>
    <x v="1"/>
  </r>
  <r>
    <s v="ORD-10179"/>
    <x v="158"/>
    <s v="Susan White"/>
    <x v="2"/>
    <s v="Cargo Shorts"/>
    <x v="3"/>
    <n v="4"/>
    <n v="85.36"/>
    <n v="10"/>
    <n v="307.3"/>
    <n v="139.85"/>
    <x v="0"/>
  </r>
  <r>
    <s v="ORD-10180"/>
    <x v="74"/>
    <s v="Sandra Perez"/>
    <x v="3"/>
    <s v="Jump Rope"/>
    <x v="4"/>
    <n v="1"/>
    <n v="15.42"/>
    <n v="20"/>
    <n v="12.34"/>
    <n v="2.74"/>
    <x v="0"/>
  </r>
  <r>
    <s v="ORD-10181"/>
    <x v="124"/>
    <s v="Elizabeth White"/>
    <x v="0"/>
    <s v="Jump Rope"/>
    <x v="4"/>
    <n v="4"/>
    <n v="59.46"/>
    <n v="0"/>
    <n v="237.84"/>
    <n v="49.31"/>
    <x v="0"/>
  </r>
  <r>
    <s v="ORD-10182"/>
    <x v="159"/>
    <s v="Michelle Thomas"/>
    <x v="3"/>
    <s v="Water Bottle"/>
    <x v="4"/>
    <n v="1"/>
    <n v="32.9"/>
    <n v="20"/>
    <n v="26.32"/>
    <n v="6.5"/>
    <x v="0"/>
  </r>
  <r>
    <s v="ORD-10183"/>
    <x v="160"/>
    <s v="Michael Jackson"/>
    <x v="4"/>
    <s v="Dumbbells 10lb"/>
    <x v="4"/>
    <n v="5"/>
    <n v="36.86"/>
    <n v="0"/>
    <n v="184.3"/>
    <n v="57.59"/>
    <x v="1"/>
  </r>
  <r>
    <s v="ORD-10184"/>
    <x v="19"/>
    <s v="Lisa Lewis"/>
    <x v="3"/>
    <s v="Perfume Travel"/>
    <x v="1"/>
    <n v="1"/>
    <n v="18.100000000000001"/>
    <n v="10"/>
    <n v="16.29"/>
    <n v="10.050000000000001"/>
    <x v="0"/>
  </r>
  <r>
    <s v="ORD-10185"/>
    <x v="14"/>
    <s v="Betty Martinez"/>
    <x v="3"/>
    <s v="Resistance Bands"/>
    <x v="4"/>
    <n v="1"/>
    <n v="26.44"/>
    <n v="20"/>
    <n v="21.15"/>
    <n v="6.54"/>
    <x v="0"/>
  </r>
  <r>
    <s v="ORD-10186"/>
    <x v="161"/>
    <s v="Mark Perez"/>
    <x v="0"/>
    <s v="Swim Goggles"/>
    <x v="4"/>
    <n v="3"/>
    <n v="50.02"/>
    <n v="0"/>
    <n v="150.06"/>
    <n v="23.93"/>
    <x v="1"/>
  </r>
  <r>
    <s v="ORD-10187"/>
    <x v="162"/>
    <s v="William Johnson"/>
    <x v="4"/>
    <s v="Keyboard Mechanical"/>
    <x v="0"/>
    <n v="2"/>
    <n v="133.88999999999999"/>
    <n v="5"/>
    <n v="254.39"/>
    <n v="62.66"/>
    <x v="0"/>
  </r>
  <r>
    <s v="ORD-10188"/>
    <x v="163"/>
    <s v="Daniel Sanchez"/>
    <x v="3"/>
    <s v="Water Bottle"/>
    <x v="4"/>
    <n v="3"/>
    <n v="13.52"/>
    <n v="0"/>
    <n v="40.56"/>
    <n v="12.74"/>
    <x v="1"/>
  </r>
  <r>
    <s v="ORD-10189"/>
    <x v="164"/>
    <s v="Sarah Jackson"/>
    <x v="1"/>
    <s v="Tablet Case"/>
    <x v="0"/>
    <n v="2"/>
    <n v="43.95"/>
    <n v="0"/>
    <n v="87.9"/>
    <n v="20.41"/>
    <x v="0"/>
  </r>
  <r>
    <s v="ORD-10190"/>
    <x v="165"/>
    <s v="Nancy Martin"/>
    <x v="1"/>
    <s v="Athletic Socks"/>
    <x v="3"/>
    <n v="3"/>
    <n v="62.83"/>
    <n v="5"/>
    <n v="179.07"/>
    <n v="93.39"/>
    <x v="0"/>
  </r>
  <r>
    <s v="ORD-10191"/>
    <x v="166"/>
    <s v="Joshua Brown"/>
    <x v="4"/>
    <s v="Foam Roller"/>
    <x v="4"/>
    <n v="1"/>
    <n v="29.58"/>
    <n v="10"/>
    <n v="26.62"/>
    <n v="5.62"/>
    <x v="0"/>
  </r>
  <r>
    <s v="ORD-10192"/>
    <x v="167"/>
    <s v="Michelle Johnson"/>
    <x v="0"/>
    <s v="Knife Set"/>
    <x v="2"/>
    <n v="2"/>
    <n v="24.89"/>
    <n v="0"/>
    <n v="49.78"/>
    <n v="14.94"/>
    <x v="0"/>
  </r>
  <r>
    <s v="ORD-10193"/>
    <x v="168"/>
    <s v="Steven Ramirez"/>
    <x v="3"/>
    <s v="Tennis Balls"/>
    <x v="4"/>
    <n v="1"/>
    <n v="15.93"/>
    <n v="0"/>
    <n v="15.93"/>
    <n v="4.24"/>
    <x v="1"/>
  </r>
  <r>
    <s v="ORD-10194"/>
    <x v="169"/>
    <s v="Sarah Hernandez"/>
    <x v="0"/>
    <s v="Perfume Travel"/>
    <x v="1"/>
    <n v="2"/>
    <n v="24.88"/>
    <n v="0"/>
    <n v="49.76"/>
    <n v="22.87"/>
    <x v="1"/>
  </r>
  <r>
    <s v="ORD-10195"/>
    <x v="170"/>
    <s v="William Harris"/>
    <x v="1"/>
    <s v="Mouse Wireless"/>
    <x v="0"/>
    <n v="4"/>
    <n v="83.12"/>
    <n v="10"/>
    <n v="299.23"/>
    <n v="67.69"/>
    <x v="1"/>
  </r>
  <r>
    <s v="ORD-10196"/>
    <x v="171"/>
    <s v="Kenneth Harris"/>
    <x v="3"/>
    <s v="Foam Roller"/>
    <x v="4"/>
    <n v="1"/>
    <n v="56.36"/>
    <n v="10"/>
    <n v="50.72"/>
    <n v="12.39"/>
    <x v="0"/>
  </r>
  <r>
    <s v="ORD-10197"/>
    <x v="172"/>
    <s v="Michelle Sanchez"/>
    <x v="0"/>
    <s v="Cotton T-Shirt"/>
    <x v="3"/>
    <n v="3"/>
    <n v="50.3"/>
    <n v="5"/>
    <n v="143.35"/>
    <n v="50.19"/>
    <x v="0"/>
  </r>
  <r>
    <s v="ORD-10198"/>
    <x v="173"/>
    <s v="Christopher Garcia"/>
    <x v="1"/>
    <s v="Water Bottle"/>
    <x v="4"/>
    <n v="1"/>
    <n v="41.49"/>
    <n v="0"/>
    <n v="41.49"/>
    <n v="13.03"/>
    <x v="0"/>
  </r>
  <r>
    <s v="ORD-10199"/>
    <x v="174"/>
    <s v="Kevin Lee"/>
    <x v="1"/>
    <s v="Yoga Mat"/>
    <x v="4"/>
    <n v="1"/>
    <n v="14.46"/>
    <n v="0"/>
    <n v="14.46"/>
    <n v="2.73"/>
    <x v="1"/>
  </r>
  <r>
    <s v="ORD-10200"/>
    <x v="170"/>
    <s v="Michelle Ramirez"/>
    <x v="1"/>
    <s v="Gym Bag"/>
    <x v="4"/>
    <n v="2"/>
    <n v="37.79"/>
    <n v="5"/>
    <n v="71.8"/>
    <n v="18.96"/>
    <x v="0"/>
  </r>
  <r>
    <s v="ORD-10201"/>
    <x v="175"/>
    <s v="Jennifer Garcia"/>
    <x v="0"/>
    <s v="Portable Charger"/>
    <x v="0"/>
    <n v="1"/>
    <n v="108.05"/>
    <n v="5"/>
    <n v="102.65"/>
    <n v="25.6"/>
    <x v="0"/>
  </r>
  <r>
    <s v="ORD-10202"/>
    <x v="165"/>
    <s v="Dorothy Davis"/>
    <x v="0"/>
    <s v="Blender"/>
    <x v="2"/>
    <n v="1"/>
    <n v="78.67"/>
    <n v="10"/>
    <n v="70.8"/>
    <n v="20.41"/>
    <x v="0"/>
  </r>
  <r>
    <s v="ORD-10203"/>
    <x v="176"/>
    <s v="Barbara Lopez"/>
    <x v="2"/>
    <s v="USB-C Hub"/>
    <x v="0"/>
    <n v="2"/>
    <n v="71.650000000000006"/>
    <n v="0"/>
    <n v="143.30000000000001"/>
    <n v="17.54"/>
    <x v="1"/>
  </r>
  <r>
    <s v="ORD-10204"/>
    <x v="177"/>
    <s v="Sandra Harris"/>
    <x v="4"/>
    <s v="Scented Candle Set"/>
    <x v="2"/>
    <n v="1"/>
    <n v="62.54"/>
    <n v="25"/>
    <n v="46.91"/>
    <n v="11.83"/>
    <x v="0"/>
  </r>
  <r>
    <s v="ORD-10205"/>
    <x v="11"/>
    <s v="Andrew Harris"/>
    <x v="1"/>
    <s v="Pillow Set"/>
    <x v="2"/>
    <n v="1"/>
    <n v="47.81"/>
    <n v="10"/>
    <n v="43.03"/>
    <n v="13.13"/>
    <x v="0"/>
  </r>
  <r>
    <s v="ORD-10206"/>
    <x v="97"/>
    <s v="Mark Davis"/>
    <x v="4"/>
    <s v="Eye Cream"/>
    <x v="1"/>
    <n v="5"/>
    <n v="28.97"/>
    <n v="20"/>
    <n v="115.88"/>
    <n v="69.040000000000006"/>
    <x v="0"/>
  </r>
  <r>
    <s v="ORD-10207"/>
    <x v="46"/>
    <s v="Robert Perez"/>
    <x v="1"/>
    <s v="Tennis Balls"/>
    <x v="4"/>
    <n v="1"/>
    <n v="37.72"/>
    <n v="20"/>
    <n v="30.18"/>
    <n v="6.75"/>
    <x v="0"/>
  </r>
  <r>
    <s v="ORD-10208"/>
    <x v="154"/>
    <s v="Mark Moore"/>
    <x v="0"/>
    <s v="Tablet Case"/>
    <x v="0"/>
    <n v="1"/>
    <n v="121.78"/>
    <n v="5"/>
    <n v="115.69"/>
    <n v="14.53"/>
    <x v="1"/>
  </r>
  <r>
    <s v="ORD-10209"/>
    <x v="76"/>
    <s v="Linda Hernandez"/>
    <x v="3"/>
    <s v="Mouse Wireless"/>
    <x v="0"/>
    <n v="1"/>
    <n v="25.83"/>
    <n v="0"/>
    <n v="25.83"/>
    <n v="2.27"/>
    <x v="1"/>
  </r>
  <r>
    <s v="ORD-10210"/>
    <x v="118"/>
    <s v="Anthony Lopez"/>
    <x v="0"/>
    <s v="Pillow Set"/>
    <x v="2"/>
    <n v="1"/>
    <n v="15.84"/>
    <n v="0"/>
    <n v="15.84"/>
    <n v="5.61"/>
    <x v="0"/>
  </r>
  <r>
    <s v="ORD-10211"/>
    <x v="178"/>
    <s v="James Smith"/>
    <x v="2"/>
    <s v="Eye Cream"/>
    <x v="1"/>
    <n v="5"/>
    <n v="34.72"/>
    <n v="10"/>
    <n v="156.24"/>
    <n v="70.06"/>
    <x v="1"/>
  </r>
  <r>
    <s v="ORD-10212"/>
    <x v="179"/>
    <s v="Linda Johnson"/>
    <x v="3"/>
    <s v="Mouse Wireless"/>
    <x v="0"/>
    <n v="1"/>
    <n v="89.98"/>
    <n v="0"/>
    <n v="89.98"/>
    <n v="11.46"/>
    <x v="0"/>
  </r>
  <r>
    <s v="ORD-10213"/>
    <x v="180"/>
    <s v="Donald Wilson"/>
    <x v="4"/>
    <s v="Knife Set"/>
    <x v="2"/>
    <n v="1"/>
    <n v="46.48"/>
    <n v="0"/>
    <n v="46.48"/>
    <n v="14.79"/>
    <x v="0"/>
  </r>
  <r>
    <s v="ORD-10214"/>
    <x v="157"/>
    <s v="Ashley Moore"/>
    <x v="1"/>
    <s v="Cycling Gloves"/>
    <x v="4"/>
    <n v="2"/>
    <n v="40.67"/>
    <n v="15"/>
    <n v="69.14"/>
    <n v="12.37"/>
    <x v="0"/>
  </r>
  <r>
    <s v="ORD-10215"/>
    <x v="181"/>
    <s v="Michelle Thompson"/>
    <x v="0"/>
    <s v="Foam Roller"/>
    <x v="4"/>
    <n v="1"/>
    <n v="57.55"/>
    <n v="15"/>
    <n v="48.92"/>
    <n v="10.77"/>
    <x v="0"/>
  </r>
  <r>
    <s v="ORD-10216"/>
    <x v="182"/>
    <s v="Steven Davis"/>
    <x v="0"/>
    <s v="Jump Rope"/>
    <x v="4"/>
    <n v="1"/>
    <n v="58.8"/>
    <n v="5"/>
    <n v="55.86"/>
    <n v="13.33"/>
    <x v="1"/>
  </r>
  <r>
    <s v="ORD-10217"/>
    <x v="156"/>
    <s v="Donald Smith"/>
    <x v="1"/>
    <s v="Dumbbells 10lb"/>
    <x v="4"/>
    <n v="2"/>
    <n v="46.51"/>
    <n v="0"/>
    <n v="93.02"/>
    <n v="22.98"/>
    <x v="1"/>
  </r>
  <r>
    <s v="ORD-10218"/>
    <x v="42"/>
    <s v="David Wilson"/>
    <x v="2"/>
    <s v="Cutting Board"/>
    <x v="2"/>
    <n v="5"/>
    <n v="71.5"/>
    <n v="0"/>
    <n v="357.5"/>
    <n v="118.84"/>
    <x v="0"/>
  </r>
  <r>
    <s v="ORD-10219"/>
    <x v="48"/>
    <s v="Robert Brown"/>
    <x v="3"/>
    <s v="Jump Rope"/>
    <x v="4"/>
    <n v="1"/>
    <n v="32.61"/>
    <n v="10"/>
    <n v="29.35"/>
    <n v="9.36"/>
    <x v="1"/>
  </r>
  <r>
    <s v="ORD-10220"/>
    <x v="50"/>
    <s v="Linda Anderson"/>
    <x v="2"/>
    <s v="Denim Jacket"/>
    <x v="3"/>
    <n v="2"/>
    <n v="62.72"/>
    <n v="5"/>
    <n v="119.17"/>
    <n v="46.71"/>
    <x v="0"/>
  </r>
  <r>
    <s v="ORD-10221"/>
    <x v="183"/>
    <s v="Karen Williams"/>
    <x v="4"/>
    <s v="Scented Candle Set"/>
    <x v="2"/>
    <n v="1"/>
    <n v="36.03"/>
    <n v="15"/>
    <n v="30.63"/>
    <n v="11.85"/>
    <x v="1"/>
  </r>
  <r>
    <s v="ORD-10222"/>
    <x v="184"/>
    <s v="Jennifer Lopez"/>
    <x v="3"/>
    <s v="Shampoo Organic"/>
    <x v="1"/>
    <n v="2"/>
    <n v="22.66"/>
    <n v="5"/>
    <n v="43.05"/>
    <n v="26.21"/>
    <x v="1"/>
  </r>
  <r>
    <s v="ORD-10223"/>
    <x v="185"/>
    <s v="Betty Ramirez"/>
    <x v="0"/>
    <s v="Perfume Travel"/>
    <x v="1"/>
    <n v="3"/>
    <n v="25.71"/>
    <n v="0"/>
    <n v="77.13"/>
    <n v="49.28"/>
    <x v="0"/>
  </r>
  <r>
    <s v="ORD-10224"/>
    <x v="186"/>
    <s v="Joseph Thompson"/>
    <x v="3"/>
    <s v="Smart Watch"/>
    <x v="0"/>
    <n v="1"/>
    <n v="132.55000000000001"/>
    <n v="5"/>
    <n v="125.92"/>
    <n v="18.03"/>
    <x v="0"/>
  </r>
  <r>
    <s v="ORD-10225"/>
    <x v="187"/>
    <s v="Karen Lee"/>
    <x v="3"/>
    <s v="Throw Blanket"/>
    <x v="2"/>
    <n v="2"/>
    <n v="31.36"/>
    <n v="0"/>
    <n v="62.72"/>
    <n v="14.29"/>
    <x v="1"/>
  </r>
  <r>
    <s v="ORD-10226"/>
    <x v="93"/>
    <s v="Barbara Brown"/>
    <x v="4"/>
    <s v="Nail Polish Set"/>
    <x v="1"/>
    <n v="2"/>
    <n v="28.43"/>
    <n v="15"/>
    <n v="48.33"/>
    <n v="21.21"/>
    <x v="0"/>
  </r>
  <r>
    <s v="ORD-10227"/>
    <x v="188"/>
    <s v="Joseph Moore"/>
    <x v="0"/>
    <s v="Pillow Set"/>
    <x v="2"/>
    <n v="4"/>
    <n v="42.76"/>
    <n v="0"/>
    <n v="171.04"/>
    <n v="42.25"/>
    <x v="1"/>
  </r>
  <r>
    <s v="ORD-10228"/>
    <x v="78"/>
    <s v="Matthew Brown"/>
    <x v="4"/>
    <s v="Coffee Maker"/>
    <x v="2"/>
    <n v="2"/>
    <n v="58.11"/>
    <n v="5"/>
    <n v="110.41"/>
    <n v="36.15"/>
    <x v="0"/>
  </r>
  <r>
    <s v="ORD-10229"/>
    <x v="15"/>
    <s v="Sandra Robinson"/>
    <x v="3"/>
    <s v="Perfume Travel"/>
    <x v="1"/>
    <n v="4"/>
    <n v="14.46"/>
    <n v="10"/>
    <n v="52.06"/>
    <n v="22.64"/>
    <x v="1"/>
  </r>
  <r>
    <s v="ORD-10230"/>
    <x v="91"/>
    <s v="Christopher Anderson"/>
    <x v="3"/>
    <s v="Water Bottle"/>
    <x v="4"/>
    <n v="3"/>
    <n v="36.28"/>
    <n v="10"/>
    <n v="97.96"/>
    <n v="29.98"/>
    <x v="0"/>
  </r>
  <r>
    <s v="ORD-10231"/>
    <x v="189"/>
    <s v="Steven Brown"/>
    <x v="4"/>
    <s v="Running Shoes"/>
    <x v="3"/>
    <n v="5"/>
    <n v="52.55"/>
    <n v="0"/>
    <n v="262.75"/>
    <n v="90.22"/>
    <x v="1"/>
  </r>
  <r>
    <s v="ORD-10232"/>
    <x v="190"/>
    <s v="Carol Johnson"/>
    <x v="4"/>
    <s v="Denim Jacket"/>
    <x v="3"/>
    <n v="2"/>
    <n v="50.79"/>
    <n v="5"/>
    <n v="96.5"/>
    <n v="43.48"/>
    <x v="1"/>
  </r>
  <r>
    <s v="ORD-10233"/>
    <x v="103"/>
    <s v="Karen Perez"/>
    <x v="0"/>
    <s v="Yoga Mat"/>
    <x v="4"/>
    <n v="3"/>
    <n v="31.22"/>
    <n v="10"/>
    <n v="84.29"/>
    <n v="22.33"/>
    <x v="0"/>
  </r>
  <r>
    <s v="ORD-10234"/>
    <x v="42"/>
    <s v="Robert Lee"/>
    <x v="2"/>
    <s v="Keyboard Mechanical"/>
    <x v="0"/>
    <n v="1"/>
    <n v="23.97"/>
    <n v="0"/>
    <n v="23.97"/>
    <n v="5.84"/>
    <x v="0"/>
  </r>
  <r>
    <s v="ORD-10235"/>
    <x v="191"/>
    <s v="Michael Clark"/>
    <x v="1"/>
    <s v="USB-C Hub"/>
    <x v="0"/>
    <n v="1"/>
    <n v="89.84"/>
    <n v="25"/>
    <n v="67.38"/>
    <n v="6.62"/>
    <x v="0"/>
  </r>
  <r>
    <s v="ORD-10236"/>
    <x v="192"/>
    <s v="Daniel Williams"/>
    <x v="1"/>
    <s v="Storage Bins"/>
    <x v="2"/>
    <n v="2"/>
    <n v="26.23"/>
    <n v="15"/>
    <n v="44.59"/>
    <n v="14.93"/>
    <x v="1"/>
  </r>
  <r>
    <s v="ORD-10237"/>
    <x v="193"/>
    <s v="Sarah Sanchez"/>
    <x v="0"/>
    <s v="Blender"/>
    <x v="2"/>
    <n v="1"/>
    <n v="26.19"/>
    <n v="0"/>
    <n v="26.19"/>
    <n v="8.3699999999999992"/>
    <x v="2"/>
  </r>
  <r>
    <s v="ORD-10238"/>
    <x v="194"/>
    <s v="Donald Sanchez"/>
    <x v="4"/>
    <s v="Knife Set"/>
    <x v="2"/>
    <n v="1"/>
    <n v="43.27"/>
    <n v="10"/>
    <n v="38.94"/>
    <n v="12.67"/>
    <x v="0"/>
  </r>
  <r>
    <s v="ORD-10239"/>
    <x v="65"/>
    <s v="Sarah Johnson"/>
    <x v="2"/>
    <s v="Athletic Socks"/>
    <x v="3"/>
    <n v="2"/>
    <n v="16.5"/>
    <n v="20"/>
    <n v="26.4"/>
    <n v="8.3699999999999992"/>
    <x v="0"/>
  </r>
  <r>
    <s v="ORD-10240"/>
    <x v="195"/>
    <s v="James Harris"/>
    <x v="2"/>
    <s v="Storage Bins"/>
    <x v="2"/>
    <n v="1"/>
    <n v="15.82"/>
    <n v="5"/>
    <n v="15.03"/>
    <n v="5.71"/>
    <x v="0"/>
  </r>
  <r>
    <s v="ORD-10241"/>
    <x v="196"/>
    <s v="Donna Davis"/>
    <x v="3"/>
    <s v="Resistance Bands"/>
    <x v="4"/>
    <n v="1"/>
    <n v="53.1"/>
    <n v="0"/>
    <n v="53.1"/>
    <n v="17.39"/>
    <x v="0"/>
  </r>
  <r>
    <s v="ORD-10242"/>
    <x v="197"/>
    <s v="Joshua Williams"/>
    <x v="4"/>
    <s v="Resistance Bands"/>
    <x v="4"/>
    <n v="3"/>
    <n v="22.37"/>
    <n v="0"/>
    <n v="67.11"/>
    <n v="10.56"/>
    <x v="2"/>
  </r>
  <r>
    <s v="ORD-10243"/>
    <x v="198"/>
    <s v="Lisa Wilson"/>
    <x v="4"/>
    <s v="Blender"/>
    <x v="2"/>
    <n v="1"/>
    <n v="21.18"/>
    <n v="25"/>
    <n v="15.89"/>
    <n v="6.01"/>
    <x v="1"/>
  </r>
  <r>
    <s v="ORD-10244"/>
    <x v="199"/>
    <s v="Kimberly Martin"/>
    <x v="0"/>
    <s v="Pillow Set"/>
    <x v="2"/>
    <n v="2"/>
    <n v="28.47"/>
    <n v="0"/>
    <n v="56.94"/>
    <n v="15.11"/>
    <x v="0"/>
  </r>
  <r>
    <s v="ORD-10245"/>
    <x v="200"/>
    <s v="Elizabeth Jackson"/>
    <x v="3"/>
    <s v="Smart Watch"/>
    <x v="0"/>
    <n v="2"/>
    <n v="24.86"/>
    <n v="10"/>
    <n v="44.75"/>
    <n v="5.17"/>
    <x v="0"/>
  </r>
  <r>
    <s v="ORD-10246"/>
    <x v="118"/>
    <s v="Michelle Miller"/>
    <x v="1"/>
    <s v="Swim Goggles"/>
    <x v="4"/>
    <n v="2"/>
    <n v="37.020000000000003"/>
    <n v="0"/>
    <n v="74.040000000000006"/>
    <n v="13.1"/>
    <x v="0"/>
  </r>
  <r>
    <s v="ORD-10247"/>
    <x v="201"/>
    <s v="Matthew Brown"/>
    <x v="0"/>
    <s v="Gym Bag"/>
    <x v="4"/>
    <n v="1"/>
    <n v="22.9"/>
    <n v="0"/>
    <n v="22.9"/>
    <n v="5.3"/>
    <x v="1"/>
  </r>
  <r>
    <s v="ORD-10248"/>
    <x v="202"/>
    <s v="Jennifer Wilson"/>
    <x v="4"/>
    <s v="Cargo Shorts"/>
    <x v="3"/>
    <n v="3"/>
    <n v="37.869999999999997"/>
    <n v="5"/>
    <n v="107.93"/>
    <n v="32.840000000000003"/>
    <x v="0"/>
  </r>
  <r>
    <s v="ORD-10249"/>
    <x v="203"/>
    <s v="Mary Ramirez"/>
    <x v="0"/>
    <s v="Yoga Pants"/>
    <x v="3"/>
    <n v="1"/>
    <n v="26.13"/>
    <n v="5"/>
    <n v="24.82"/>
    <n v="13.08"/>
    <x v="0"/>
  </r>
  <r>
    <s v="ORD-10250"/>
    <x v="204"/>
    <s v="Jennifer Clark"/>
    <x v="0"/>
    <s v="Smart Watch"/>
    <x v="0"/>
    <n v="1"/>
    <n v="67.12"/>
    <n v="10"/>
    <n v="60.41"/>
    <n v="13.73"/>
    <x v="1"/>
  </r>
  <r>
    <s v="ORD-10251"/>
    <x v="205"/>
    <s v="Sarah Clark"/>
    <x v="2"/>
    <s v="Polo Shirt"/>
    <x v="3"/>
    <n v="1"/>
    <n v="76.27"/>
    <n v="0"/>
    <n v="76.27"/>
    <n v="31.73"/>
    <x v="1"/>
  </r>
  <r>
    <s v="ORD-10252"/>
    <x v="206"/>
    <s v="Kimberly Martin"/>
    <x v="4"/>
    <s v="USB-C Hub"/>
    <x v="0"/>
    <n v="2"/>
    <n v="95.25"/>
    <n v="20"/>
    <n v="152.4"/>
    <n v="25.45"/>
    <x v="1"/>
  </r>
  <r>
    <s v="ORD-10253"/>
    <x v="58"/>
    <s v="Dorothy Thomas"/>
    <x v="2"/>
    <s v="Gym Bag"/>
    <x v="4"/>
    <n v="1"/>
    <n v="26.49"/>
    <n v="0"/>
    <n v="26.49"/>
    <n v="8.25"/>
    <x v="0"/>
  </r>
  <r>
    <s v="ORD-10254"/>
    <x v="207"/>
    <s v="Michelle Jackson"/>
    <x v="3"/>
    <s v="Hair Oil"/>
    <x v="1"/>
    <n v="2"/>
    <n v="43.55"/>
    <n v="0"/>
    <n v="87.1"/>
    <n v="53.33"/>
    <x v="1"/>
  </r>
  <r>
    <s v="ORD-10255"/>
    <x v="208"/>
    <s v="Robert Smith"/>
    <x v="4"/>
    <s v="Lip Balm Set"/>
    <x v="1"/>
    <n v="3"/>
    <n v="34.11"/>
    <n v="5"/>
    <n v="97.21"/>
    <n v="59.09"/>
    <x v="0"/>
  </r>
  <r>
    <s v="ORD-10256"/>
    <x v="209"/>
    <s v="Susan Moore"/>
    <x v="4"/>
    <s v="Tablet Case"/>
    <x v="0"/>
    <n v="1"/>
    <n v="141.1"/>
    <n v="0"/>
    <n v="141.1"/>
    <n v="12.27"/>
    <x v="2"/>
  </r>
  <r>
    <s v="ORD-10257"/>
    <x v="209"/>
    <s v="Donald Lewis"/>
    <x v="3"/>
    <s v="Jump Rope"/>
    <x v="4"/>
    <n v="2"/>
    <n v="57.46"/>
    <n v="0"/>
    <n v="114.92"/>
    <n v="18.079999999999998"/>
    <x v="1"/>
  </r>
  <r>
    <s v="ORD-10258"/>
    <x v="210"/>
    <s v="Sarah Anderson"/>
    <x v="2"/>
    <s v="Webcam HD"/>
    <x v="0"/>
    <n v="4"/>
    <n v="136.4"/>
    <n v="0"/>
    <n v="545.6"/>
    <n v="115.45"/>
    <x v="1"/>
  </r>
  <r>
    <s v="ORD-10259"/>
    <x v="167"/>
    <s v="Ashley Harris"/>
    <x v="4"/>
    <s v="Resistance Bands"/>
    <x v="4"/>
    <n v="2"/>
    <n v="21.08"/>
    <n v="5"/>
    <n v="40.049999999999997"/>
    <n v="9.16"/>
    <x v="1"/>
  </r>
  <r>
    <s v="ORD-10260"/>
    <x v="211"/>
    <s v="William Martin"/>
    <x v="2"/>
    <s v="Portable Charger"/>
    <x v="0"/>
    <n v="2"/>
    <n v="52.07"/>
    <n v="0"/>
    <n v="104.14"/>
    <n v="20.86"/>
    <x v="0"/>
  </r>
  <r>
    <s v="ORD-10261"/>
    <x v="212"/>
    <s v="Richard Jackson"/>
    <x v="1"/>
    <s v="Eye Cream"/>
    <x v="1"/>
    <n v="1"/>
    <n v="42.76"/>
    <n v="10"/>
    <n v="38.479999999999997"/>
    <n v="21.82"/>
    <x v="2"/>
  </r>
  <r>
    <s v="ORD-10262"/>
    <x v="50"/>
    <s v="Jennifer Robinson"/>
    <x v="2"/>
    <s v="Polo Shirt"/>
    <x v="3"/>
    <n v="3"/>
    <n v="70.55"/>
    <n v="10"/>
    <n v="190.49"/>
    <n v="61.47"/>
    <x v="0"/>
  </r>
  <r>
    <s v="ORD-10263"/>
    <x v="91"/>
    <s v="Thomas Williams"/>
    <x v="4"/>
    <s v="Water Bottle"/>
    <x v="4"/>
    <n v="1"/>
    <n v="39.25"/>
    <n v="15"/>
    <n v="33.36"/>
    <n v="7.42"/>
    <x v="0"/>
  </r>
  <r>
    <s v="ORD-10264"/>
    <x v="213"/>
    <s v="Susan Brown"/>
    <x v="0"/>
    <s v="Cycling Gloves"/>
    <x v="4"/>
    <n v="1"/>
    <n v="57.89"/>
    <n v="5"/>
    <n v="55"/>
    <n v="17.73"/>
    <x v="0"/>
  </r>
  <r>
    <s v="ORD-10265"/>
    <x v="214"/>
    <s v="Mark Ramirez"/>
    <x v="2"/>
    <s v="Swim Goggles"/>
    <x v="4"/>
    <n v="3"/>
    <n v="12.48"/>
    <n v="15"/>
    <n v="31.82"/>
    <n v="10.65"/>
    <x v="1"/>
  </r>
  <r>
    <s v="ORD-10266"/>
    <x v="215"/>
    <s v="Richard Smith"/>
    <x v="1"/>
    <s v="Door Mat"/>
    <x v="2"/>
    <n v="3"/>
    <n v="65.400000000000006"/>
    <n v="10"/>
    <n v="176.58"/>
    <n v="68.569999999999993"/>
    <x v="0"/>
  </r>
  <r>
    <s v="ORD-10267"/>
    <x v="99"/>
    <s v="Anthony Harris"/>
    <x v="4"/>
    <s v="Polo Shirt"/>
    <x v="3"/>
    <n v="1"/>
    <n v="15.46"/>
    <n v="10"/>
    <n v="13.91"/>
    <n v="6.39"/>
    <x v="0"/>
  </r>
  <r>
    <s v="ORD-10268"/>
    <x v="216"/>
    <s v="Nancy Hernandez"/>
    <x v="1"/>
    <s v="Storage Bins"/>
    <x v="2"/>
    <n v="4"/>
    <n v="26.02"/>
    <n v="25"/>
    <n v="78.06"/>
    <n v="27.56"/>
    <x v="0"/>
  </r>
  <r>
    <s v="ORD-10269"/>
    <x v="217"/>
    <s v="Joseph Brown"/>
    <x v="1"/>
    <s v="Bluetooth Speaker"/>
    <x v="0"/>
    <n v="3"/>
    <n v="149.78"/>
    <n v="0"/>
    <n v="449.34"/>
    <n v="95.69"/>
    <x v="0"/>
  </r>
  <r>
    <s v="ORD-10270"/>
    <x v="120"/>
    <s v="Karen Clark"/>
    <x v="2"/>
    <s v="Wireless Headphones"/>
    <x v="0"/>
    <n v="1"/>
    <n v="126.86"/>
    <n v="10"/>
    <n v="114.17"/>
    <n v="22.67"/>
    <x v="0"/>
  </r>
  <r>
    <s v="ORD-10271"/>
    <x v="12"/>
    <s v="Kevin Martinez"/>
    <x v="0"/>
    <s v="Tennis Balls"/>
    <x v="4"/>
    <n v="1"/>
    <n v="37.97"/>
    <n v="10"/>
    <n v="34.17"/>
    <n v="5.77"/>
    <x v="2"/>
  </r>
  <r>
    <s v="ORD-10272"/>
    <x v="218"/>
    <s v="Donald Taylor"/>
    <x v="2"/>
    <s v="Nail Polish Set"/>
    <x v="1"/>
    <n v="1"/>
    <n v="45.34"/>
    <n v="10"/>
    <n v="40.81"/>
    <n v="18.399999999999999"/>
    <x v="0"/>
  </r>
  <r>
    <s v="ORD-10273"/>
    <x v="219"/>
    <s v="Joseph Thomas"/>
    <x v="1"/>
    <s v="Knife Set"/>
    <x v="2"/>
    <n v="1"/>
    <n v="65.650000000000006"/>
    <n v="10"/>
    <n v="59.09"/>
    <n v="22.28"/>
    <x v="1"/>
  </r>
  <r>
    <s v="ORD-10274"/>
    <x v="220"/>
    <s v="Ashley Ramirez"/>
    <x v="1"/>
    <s v="Rain Jacket"/>
    <x v="3"/>
    <n v="3"/>
    <n v="60.2"/>
    <n v="25"/>
    <n v="135.44999999999999"/>
    <n v="40.909999999999997"/>
    <x v="2"/>
  </r>
  <r>
    <s v="ORD-10275"/>
    <x v="221"/>
    <s v="Linda Garcia"/>
    <x v="0"/>
    <s v="Hair Oil"/>
    <x v="1"/>
    <n v="1"/>
    <n v="28.67"/>
    <n v="0"/>
    <n v="28.67"/>
    <n v="17.55"/>
    <x v="1"/>
  </r>
  <r>
    <s v="ORD-10276"/>
    <x v="14"/>
    <s v="Jessica Miller"/>
    <x v="2"/>
    <s v="Door Mat"/>
    <x v="2"/>
    <n v="3"/>
    <n v="51.26"/>
    <n v="10"/>
    <n v="138.4"/>
    <n v="33.5"/>
    <x v="1"/>
  </r>
  <r>
    <s v="ORD-10277"/>
    <x v="222"/>
    <s v="Barbara Lee"/>
    <x v="1"/>
    <s v="Cargo Shorts"/>
    <x v="3"/>
    <n v="2"/>
    <n v="68.489999999999995"/>
    <n v="5"/>
    <n v="130.13"/>
    <n v="64.42"/>
    <x v="0"/>
  </r>
  <r>
    <s v="ORD-10278"/>
    <x v="223"/>
    <s v="Michael Thompson"/>
    <x v="3"/>
    <s v="Scented Candle Set"/>
    <x v="2"/>
    <n v="1"/>
    <n v="52.33"/>
    <n v="5"/>
    <n v="49.71"/>
    <n v="16.68"/>
    <x v="1"/>
  </r>
  <r>
    <s v="ORD-10279"/>
    <x v="224"/>
    <s v="Mary Martinez"/>
    <x v="2"/>
    <s v="Lip Balm Set"/>
    <x v="1"/>
    <n v="5"/>
    <n v="21.68"/>
    <n v="10"/>
    <n v="97.56"/>
    <n v="60.69"/>
    <x v="0"/>
  </r>
  <r>
    <s v="ORD-10280"/>
    <x v="225"/>
    <s v="Dorothy Johnson"/>
    <x v="0"/>
    <s v="Mouse Wireless"/>
    <x v="0"/>
    <n v="4"/>
    <n v="60.24"/>
    <n v="25"/>
    <n v="180.72"/>
    <n v="29.68"/>
    <x v="1"/>
  </r>
  <r>
    <s v="ORD-10281"/>
    <x v="166"/>
    <s v="Karen Smith"/>
    <x v="1"/>
    <s v="Rain Jacket"/>
    <x v="3"/>
    <n v="1"/>
    <n v="75.39"/>
    <n v="25"/>
    <n v="56.54"/>
    <n v="28.29"/>
    <x v="0"/>
  </r>
  <r>
    <s v="ORD-10282"/>
    <x v="112"/>
    <s v="Steven Lopez"/>
    <x v="3"/>
    <s v="Cargo Shorts"/>
    <x v="3"/>
    <n v="3"/>
    <n v="33.76"/>
    <n v="10"/>
    <n v="91.15"/>
    <n v="37.630000000000003"/>
    <x v="0"/>
  </r>
  <r>
    <s v="ORD-10283"/>
    <x v="226"/>
    <s v="Michelle Ramirez"/>
    <x v="4"/>
    <s v="Desk Lamp"/>
    <x v="2"/>
    <n v="3"/>
    <n v="37.69"/>
    <n v="10"/>
    <n v="101.76"/>
    <n v="22.1"/>
    <x v="0"/>
  </r>
  <r>
    <s v="ORD-10284"/>
    <x v="227"/>
    <s v="Dorothy Sanchez"/>
    <x v="2"/>
    <s v="Face Moisturizer"/>
    <x v="1"/>
    <n v="2"/>
    <n v="28.44"/>
    <n v="10"/>
    <n v="51.19"/>
    <n v="29.95"/>
    <x v="0"/>
  </r>
  <r>
    <s v="ORD-10285"/>
    <x v="228"/>
    <s v="Kimberly Miller"/>
    <x v="3"/>
    <s v="Shampoo Organic"/>
    <x v="1"/>
    <n v="4"/>
    <n v="42.39"/>
    <n v="0"/>
    <n v="169.56"/>
    <n v="87.17"/>
    <x v="0"/>
  </r>
  <r>
    <s v="ORD-10286"/>
    <x v="229"/>
    <s v="Mark Jackson"/>
    <x v="4"/>
    <s v="Nail Polish Set"/>
    <x v="1"/>
    <n v="2"/>
    <n v="42.69"/>
    <n v="0"/>
    <n v="85.38"/>
    <n v="49.75"/>
    <x v="1"/>
  </r>
  <r>
    <s v="ORD-10287"/>
    <x v="230"/>
    <s v="Kenneth Clark"/>
    <x v="2"/>
    <s v="Pillow Set"/>
    <x v="2"/>
    <n v="2"/>
    <n v="17.55"/>
    <n v="20"/>
    <n v="28.08"/>
    <n v="10.64"/>
    <x v="0"/>
  </r>
  <r>
    <s v="ORD-10288"/>
    <x v="231"/>
    <s v="Dorothy Rodriguez"/>
    <x v="2"/>
    <s v="Nail Polish Set"/>
    <x v="1"/>
    <n v="1"/>
    <n v="49.62"/>
    <n v="5"/>
    <n v="47.14"/>
    <n v="24.85"/>
    <x v="0"/>
  </r>
  <r>
    <s v="ORD-10289"/>
    <x v="218"/>
    <s v="Linda Thomas"/>
    <x v="4"/>
    <s v="Swim Goggles"/>
    <x v="4"/>
    <n v="3"/>
    <n v="59.38"/>
    <n v="20"/>
    <n v="142.51"/>
    <n v="43.79"/>
    <x v="2"/>
  </r>
  <r>
    <s v="ORD-10290"/>
    <x v="232"/>
    <s v="Michael White"/>
    <x v="3"/>
    <s v="Laptop Stand"/>
    <x v="0"/>
    <n v="1"/>
    <n v="51.95"/>
    <n v="5"/>
    <n v="49.35"/>
    <n v="9.4499999999999993"/>
    <x v="2"/>
  </r>
  <r>
    <s v="ORD-10291"/>
    <x v="136"/>
    <s v="Emily Martin"/>
    <x v="2"/>
    <s v="Laptop Stand"/>
    <x v="0"/>
    <n v="1"/>
    <n v="32.4"/>
    <n v="0"/>
    <n v="32.4"/>
    <n v="4.82"/>
    <x v="1"/>
  </r>
  <r>
    <s v="ORD-10292"/>
    <x v="56"/>
    <s v="David Jackson"/>
    <x v="0"/>
    <s v="Face Mask Pack"/>
    <x v="1"/>
    <n v="1"/>
    <n v="49.17"/>
    <n v="5"/>
    <n v="46.71"/>
    <n v="22.67"/>
    <x v="0"/>
  </r>
  <r>
    <s v="ORD-10293"/>
    <x v="233"/>
    <s v="William Martin"/>
    <x v="1"/>
    <s v="Jump Rope"/>
    <x v="4"/>
    <n v="2"/>
    <n v="13.83"/>
    <n v="5"/>
    <n v="26.28"/>
    <n v="5.3"/>
    <x v="0"/>
  </r>
  <r>
    <s v="ORD-10294"/>
    <x v="234"/>
    <s v="Robert Lewis"/>
    <x v="3"/>
    <s v="Casual Sneakers"/>
    <x v="3"/>
    <n v="5"/>
    <n v="32.21"/>
    <n v="20"/>
    <n v="128.84"/>
    <n v="43.69"/>
    <x v="0"/>
  </r>
  <r>
    <s v="ORD-10295"/>
    <x v="235"/>
    <s v="William Rodriguez"/>
    <x v="3"/>
    <s v="Eye Cream"/>
    <x v="1"/>
    <n v="3"/>
    <n v="22.73"/>
    <n v="10"/>
    <n v="61.37"/>
    <n v="38.950000000000003"/>
    <x v="0"/>
  </r>
  <r>
    <s v="ORD-10296"/>
    <x v="236"/>
    <s v="Daniel Taylor"/>
    <x v="3"/>
    <s v="Nail Polish Set"/>
    <x v="1"/>
    <n v="2"/>
    <n v="36.299999999999997"/>
    <n v="0"/>
    <n v="72.599999999999994"/>
    <n v="29.48"/>
    <x v="0"/>
  </r>
  <r>
    <s v="ORD-10297"/>
    <x v="237"/>
    <s v="Elizabeth Johnson"/>
    <x v="1"/>
    <s v="Sunscreen SPF50"/>
    <x v="1"/>
    <n v="2"/>
    <n v="7.73"/>
    <n v="15"/>
    <n v="13.14"/>
    <n v="8.08"/>
    <x v="1"/>
  </r>
  <r>
    <s v="ORD-10298"/>
    <x v="238"/>
    <s v="Robert Jackson"/>
    <x v="4"/>
    <s v="Resistance Bands"/>
    <x v="4"/>
    <n v="2"/>
    <n v="27.55"/>
    <n v="10"/>
    <n v="49.59"/>
    <n v="9.7799999999999994"/>
    <x v="1"/>
  </r>
  <r>
    <s v="ORD-10299"/>
    <x v="239"/>
    <s v="Thomas Harris"/>
    <x v="4"/>
    <s v="Rain Jacket"/>
    <x v="3"/>
    <n v="3"/>
    <n v="89.82"/>
    <n v="10"/>
    <n v="242.51"/>
    <n v="99.73"/>
    <x v="0"/>
  </r>
  <r>
    <s v="ORD-10300"/>
    <x v="209"/>
    <s v="Karen Clark"/>
    <x v="0"/>
    <s v="Pillow Set"/>
    <x v="2"/>
    <n v="1"/>
    <n v="29.1"/>
    <n v="0"/>
    <n v="29.1"/>
    <n v="8.32"/>
    <x v="0"/>
  </r>
  <r>
    <s v="ORD-10301"/>
    <x v="240"/>
    <s v="Joshua Rodriguez"/>
    <x v="4"/>
    <s v="Water Bottle"/>
    <x v="4"/>
    <n v="1"/>
    <n v="31.45"/>
    <n v="0"/>
    <n v="31.45"/>
    <n v="7.69"/>
    <x v="0"/>
  </r>
  <r>
    <s v="ORD-10302"/>
    <x v="241"/>
    <s v="Andrew Harris"/>
    <x v="0"/>
    <s v="USB-C Hub"/>
    <x v="0"/>
    <n v="1"/>
    <n v="32.61"/>
    <n v="0"/>
    <n v="32.61"/>
    <n v="2.87"/>
    <x v="0"/>
  </r>
  <r>
    <s v="ORD-10303"/>
    <x v="203"/>
    <s v="Sandra Brown"/>
    <x v="2"/>
    <s v="Polo Shirt"/>
    <x v="3"/>
    <n v="1"/>
    <n v="80.02"/>
    <n v="0"/>
    <n v="80.02"/>
    <n v="37.630000000000003"/>
    <x v="1"/>
  </r>
  <r>
    <s v="ORD-10304"/>
    <x v="242"/>
    <s v="James Jackson"/>
    <x v="2"/>
    <s v="Resistance Bands"/>
    <x v="4"/>
    <n v="3"/>
    <n v="23.15"/>
    <n v="20"/>
    <n v="55.56"/>
    <n v="10.63"/>
    <x v="0"/>
  </r>
  <r>
    <s v="ORD-10305"/>
    <x v="243"/>
    <s v="Joseph Gonzalez"/>
    <x v="0"/>
    <s v="Denim Jacket"/>
    <x v="3"/>
    <n v="1"/>
    <n v="26.24"/>
    <n v="10"/>
    <n v="23.62"/>
    <n v="11.05"/>
    <x v="1"/>
  </r>
  <r>
    <s v="ORD-10306"/>
    <x v="244"/>
    <s v="Michelle Robinson"/>
    <x v="0"/>
    <s v="Bluetooth Speaker"/>
    <x v="0"/>
    <n v="2"/>
    <n v="38.1"/>
    <n v="10"/>
    <n v="68.58"/>
    <n v="14.14"/>
    <x v="2"/>
  </r>
  <r>
    <s v="ORD-10307"/>
    <x v="245"/>
    <s v="Kenneth Johnson"/>
    <x v="3"/>
    <s v="Knife Set"/>
    <x v="2"/>
    <n v="1"/>
    <n v="65.95"/>
    <n v="10"/>
    <n v="59.36"/>
    <n v="20.11"/>
    <x v="0"/>
  </r>
  <r>
    <s v="ORD-10308"/>
    <x v="246"/>
    <s v="Elizabeth Ramirez"/>
    <x v="1"/>
    <s v="Dumbbells 10lb"/>
    <x v="4"/>
    <n v="1"/>
    <n v="37.1"/>
    <n v="15"/>
    <n v="31.54"/>
    <n v="10.46"/>
    <x v="2"/>
  </r>
  <r>
    <s v="ORD-10309"/>
    <x v="212"/>
    <s v="Barbara Lewis"/>
    <x v="4"/>
    <s v="Door Mat"/>
    <x v="2"/>
    <n v="1"/>
    <n v="65.209999999999994"/>
    <n v="20"/>
    <n v="52.17"/>
    <n v="13.2"/>
    <x v="0"/>
  </r>
  <r>
    <s v="ORD-10310"/>
    <x v="247"/>
    <s v="Karen Lewis"/>
    <x v="1"/>
    <s v="Cotton T-Shirt"/>
    <x v="3"/>
    <n v="1"/>
    <n v="64.7"/>
    <n v="5"/>
    <n v="61.47"/>
    <n v="33.049999999999997"/>
    <x v="1"/>
  </r>
  <r>
    <s v="ORD-10311"/>
    <x v="114"/>
    <s v="Thomas Martinez"/>
    <x v="3"/>
    <s v="Cotton T-Shirt"/>
    <x v="3"/>
    <n v="1"/>
    <n v="67.23"/>
    <n v="0"/>
    <n v="67.23"/>
    <n v="23.45"/>
    <x v="2"/>
  </r>
  <r>
    <s v="ORD-10312"/>
    <x v="198"/>
    <s v="Paul Martin"/>
    <x v="1"/>
    <s v="Knife Set"/>
    <x v="2"/>
    <n v="1"/>
    <n v="55.6"/>
    <n v="0"/>
    <n v="55.6"/>
    <n v="22.2"/>
    <x v="0"/>
  </r>
  <r>
    <s v="ORD-10313"/>
    <x v="248"/>
    <s v="Dorothy Lopez"/>
    <x v="3"/>
    <s v="Pillow Set"/>
    <x v="2"/>
    <n v="3"/>
    <n v="53.4"/>
    <n v="25"/>
    <n v="120.15"/>
    <n v="24.92"/>
    <x v="0"/>
  </r>
  <r>
    <s v="ORD-10314"/>
    <x v="152"/>
    <s v="Ashley Robinson"/>
    <x v="2"/>
    <s v="Cargo Shorts"/>
    <x v="3"/>
    <n v="3"/>
    <n v="52.53"/>
    <n v="0"/>
    <n v="157.59"/>
    <n v="63.84"/>
    <x v="1"/>
  </r>
  <r>
    <s v="ORD-10315"/>
    <x v="249"/>
    <s v="Joseph Jackson"/>
    <x v="4"/>
    <s v="Foam Roller"/>
    <x v="4"/>
    <n v="1"/>
    <n v="13.69"/>
    <n v="15"/>
    <n v="11.64"/>
    <n v="3.86"/>
    <x v="1"/>
  </r>
  <r>
    <s v="ORD-10316"/>
    <x v="250"/>
    <s v="Daniel Lee"/>
    <x v="1"/>
    <s v="Cargo Shorts"/>
    <x v="3"/>
    <n v="2"/>
    <n v="58.85"/>
    <n v="5"/>
    <n v="111.82"/>
    <n v="33.79"/>
    <x v="0"/>
  </r>
  <r>
    <s v="ORD-10317"/>
    <x v="251"/>
    <s v="Nancy Davis"/>
    <x v="2"/>
    <s v="Perfume Travel"/>
    <x v="1"/>
    <n v="1"/>
    <n v="40.47"/>
    <n v="10"/>
    <n v="36.42"/>
    <n v="16.11"/>
    <x v="1"/>
  </r>
  <r>
    <s v="ORD-10318"/>
    <x v="252"/>
    <s v="Betty Moore"/>
    <x v="0"/>
    <s v="Perfume Travel"/>
    <x v="1"/>
    <n v="1"/>
    <n v="29.06"/>
    <n v="5"/>
    <n v="27.61"/>
    <n v="11.2"/>
    <x v="0"/>
  </r>
  <r>
    <s v="ORD-10319"/>
    <x v="253"/>
    <s v="Sarah Jackson"/>
    <x v="0"/>
    <s v="Body Lotion"/>
    <x v="1"/>
    <n v="1"/>
    <n v="46.72"/>
    <n v="10"/>
    <n v="42.05"/>
    <n v="22.91"/>
    <x v="0"/>
  </r>
  <r>
    <s v="ORD-10320"/>
    <x v="254"/>
    <s v="Daniel Jones"/>
    <x v="3"/>
    <s v="Coffee Maker"/>
    <x v="2"/>
    <n v="1"/>
    <n v="76.88"/>
    <n v="10"/>
    <n v="69.19"/>
    <n v="20.02"/>
    <x v="1"/>
  </r>
  <r>
    <s v="ORD-10321"/>
    <x v="54"/>
    <s v="Kevin White"/>
    <x v="3"/>
    <s v="Athletic Socks"/>
    <x v="3"/>
    <n v="4"/>
    <n v="72.11"/>
    <n v="15"/>
    <n v="245.17"/>
    <n v="94.32"/>
    <x v="1"/>
  </r>
  <r>
    <s v="ORD-10322"/>
    <x v="255"/>
    <s v="Karen Lewis"/>
    <x v="1"/>
    <s v="Cotton T-Shirt"/>
    <x v="3"/>
    <n v="1"/>
    <n v="34.94"/>
    <n v="15"/>
    <n v="29.7"/>
    <n v="15.6"/>
    <x v="0"/>
  </r>
  <r>
    <s v="ORD-10323"/>
    <x v="256"/>
    <s v="Paul Thomas"/>
    <x v="2"/>
    <s v="Lip Balm Set"/>
    <x v="1"/>
    <n v="4"/>
    <n v="27.2"/>
    <n v="0"/>
    <n v="108.8"/>
    <n v="56.18"/>
    <x v="0"/>
  </r>
  <r>
    <s v="ORD-10324"/>
    <x v="257"/>
    <s v="Lisa Johnson"/>
    <x v="3"/>
    <s v="Yoga Mat"/>
    <x v="4"/>
    <n v="1"/>
    <n v="52.35"/>
    <n v="0"/>
    <n v="52.35"/>
    <n v="8.52"/>
    <x v="0"/>
  </r>
  <r>
    <s v="ORD-10325"/>
    <x v="258"/>
    <s v="Donald Wilson"/>
    <x v="1"/>
    <s v="Coffee Maker"/>
    <x v="2"/>
    <n v="1"/>
    <n v="71.209999999999994"/>
    <n v="0"/>
    <n v="71.209999999999994"/>
    <n v="28.1"/>
    <x v="0"/>
  </r>
  <r>
    <s v="ORD-10326"/>
    <x v="259"/>
    <s v="Carol Clark"/>
    <x v="0"/>
    <s v="Wool Sweater"/>
    <x v="3"/>
    <n v="1"/>
    <n v="84.2"/>
    <n v="10"/>
    <n v="75.78"/>
    <n v="37.01"/>
    <x v="1"/>
  </r>
  <r>
    <s v="ORD-10327"/>
    <x v="260"/>
    <s v="Christopher Williams"/>
    <x v="4"/>
    <s v="Dumbbells 10lb"/>
    <x v="4"/>
    <n v="2"/>
    <n v="33.33"/>
    <n v="5"/>
    <n v="63.33"/>
    <n v="12.28"/>
    <x v="1"/>
  </r>
  <r>
    <s v="ORD-10328"/>
    <x v="238"/>
    <s v="David Jones"/>
    <x v="0"/>
    <s v="Swim Goggles"/>
    <x v="4"/>
    <n v="3"/>
    <n v="59.85"/>
    <n v="0"/>
    <n v="179.55"/>
    <n v="55.76"/>
    <x v="2"/>
  </r>
  <r>
    <s v="ORD-10329"/>
    <x v="226"/>
    <s v="Thomas Harris"/>
    <x v="2"/>
    <s v="Hair Oil"/>
    <x v="1"/>
    <n v="1"/>
    <n v="33.659999999999997"/>
    <n v="0"/>
    <n v="33.659999999999997"/>
    <n v="17.54"/>
    <x v="0"/>
  </r>
  <r>
    <s v="ORD-10330"/>
    <x v="69"/>
    <s v="Jennifer Brown"/>
    <x v="2"/>
    <s v="Wool Sweater"/>
    <x v="3"/>
    <n v="2"/>
    <n v="72.95"/>
    <n v="10"/>
    <n v="131.31"/>
    <n v="42.45"/>
    <x v="0"/>
  </r>
  <r>
    <s v="ORD-10331"/>
    <x v="261"/>
    <s v="Dorothy Ramirez"/>
    <x v="1"/>
    <s v="Gym Bag"/>
    <x v="4"/>
    <n v="3"/>
    <n v="37.75"/>
    <n v="20"/>
    <n v="90.6"/>
    <n v="21.56"/>
    <x v="0"/>
  </r>
  <r>
    <s v="ORD-10332"/>
    <x v="262"/>
    <s v="Elizabeth White"/>
    <x v="4"/>
    <s v="Webcam HD"/>
    <x v="0"/>
    <n v="2"/>
    <n v="74.8"/>
    <n v="15"/>
    <n v="127.16"/>
    <n v="25.37"/>
    <x v="0"/>
  </r>
  <r>
    <s v="ORD-10333"/>
    <x v="263"/>
    <s v="Jessica Sanchez"/>
    <x v="0"/>
    <s v="Sunscreen SPF50"/>
    <x v="1"/>
    <n v="1"/>
    <n v="27.38"/>
    <n v="0"/>
    <n v="27.38"/>
    <n v="16.329999999999998"/>
    <x v="0"/>
  </r>
  <r>
    <s v="ORD-10334"/>
    <x v="84"/>
    <s v="Matthew Moore"/>
    <x v="2"/>
    <s v="Foam Roller"/>
    <x v="4"/>
    <n v="4"/>
    <n v="41.88"/>
    <n v="25"/>
    <n v="125.64"/>
    <n v="27.73"/>
    <x v="1"/>
  </r>
  <r>
    <s v="ORD-10335"/>
    <x v="264"/>
    <s v="Emily Perez"/>
    <x v="1"/>
    <s v="Portable Charger"/>
    <x v="0"/>
    <n v="2"/>
    <n v="65.34"/>
    <n v="5"/>
    <n v="124.15"/>
    <n v="29.12"/>
    <x v="1"/>
  </r>
  <r>
    <s v="ORD-10336"/>
    <x v="250"/>
    <s v="Jennifer Davis"/>
    <x v="3"/>
    <s v="Swim Goggles"/>
    <x v="4"/>
    <n v="1"/>
    <n v="54.65"/>
    <n v="5"/>
    <n v="51.92"/>
    <n v="8.61"/>
    <x v="0"/>
  </r>
  <r>
    <s v="ORD-10337"/>
    <x v="133"/>
    <s v="Matthew Smith"/>
    <x v="0"/>
    <s v="Eye Cream"/>
    <x v="1"/>
    <n v="3"/>
    <n v="25.09"/>
    <n v="5"/>
    <n v="71.510000000000005"/>
    <n v="43.41"/>
    <x v="2"/>
  </r>
  <r>
    <s v="ORD-10338"/>
    <x v="265"/>
    <s v="Christopher Rodriguez"/>
    <x v="3"/>
    <s v="Wool Sweater"/>
    <x v="3"/>
    <n v="1"/>
    <n v="46.46"/>
    <n v="15"/>
    <n v="39.49"/>
    <n v="16.260000000000002"/>
    <x v="0"/>
  </r>
  <r>
    <s v="ORD-10339"/>
    <x v="107"/>
    <s v="Kenneth Clark"/>
    <x v="2"/>
    <s v="Hair Oil"/>
    <x v="1"/>
    <n v="3"/>
    <n v="46.55"/>
    <n v="0"/>
    <n v="139.65"/>
    <n v="65.5"/>
    <x v="0"/>
  </r>
  <r>
    <s v="ORD-10340"/>
    <x v="262"/>
    <s v="Donna Lee"/>
    <x v="4"/>
    <s v="Yoga Pants"/>
    <x v="3"/>
    <n v="1"/>
    <n v="35.83"/>
    <n v="5"/>
    <n v="34.04"/>
    <n v="14.09"/>
    <x v="0"/>
  </r>
  <r>
    <s v="ORD-10341"/>
    <x v="21"/>
    <s v="Emily Brown"/>
    <x v="4"/>
    <s v="Running Shoes"/>
    <x v="3"/>
    <n v="2"/>
    <n v="37.99"/>
    <n v="0"/>
    <n v="75.98"/>
    <n v="36.229999999999997"/>
    <x v="0"/>
  </r>
  <r>
    <s v="ORD-10342"/>
    <x v="266"/>
    <s v="Betty Anderson"/>
    <x v="0"/>
    <s v="Bluetooth Speaker"/>
    <x v="0"/>
    <n v="2"/>
    <n v="26.91"/>
    <n v="20"/>
    <n v="43.06"/>
    <n v="7.34"/>
    <x v="1"/>
  </r>
  <r>
    <s v="ORD-10343"/>
    <x v="255"/>
    <s v="Elizabeth Martinez"/>
    <x v="4"/>
    <s v="Cycling Gloves"/>
    <x v="4"/>
    <n v="4"/>
    <n v="20.67"/>
    <n v="5"/>
    <n v="78.55"/>
    <n v="20.7"/>
    <x v="0"/>
  </r>
  <r>
    <s v="ORD-10344"/>
    <x v="267"/>
    <s v="William Sanchez"/>
    <x v="0"/>
    <s v="Tennis Balls"/>
    <x v="4"/>
    <n v="1"/>
    <n v="33.369999999999997"/>
    <n v="0"/>
    <n v="33.369999999999997"/>
    <n v="11.31"/>
    <x v="1"/>
  </r>
  <r>
    <s v="ORD-10345"/>
    <x v="268"/>
    <s v="Jessica Ramirez"/>
    <x v="0"/>
    <s v="Smart Watch"/>
    <x v="0"/>
    <n v="3"/>
    <n v="72.19"/>
    <n v="0"/>
    <n v="216.57"/>
    <n v="42.79"/>
    <x v="2"/>
  </r>
  <r>
    <s v="ORD-10346"/>
    <x v="269"/>
    <s v="Nancy Thompson"/>
    <x v="3"/>
    <s v="Shampoo Organic"/>
    <x v="1"/>
    <n v="1"/>
    <n v="41.2"/>
    <n v="15"/>
    <n v="35.020000000000003"/>
    <n v="19.850000000000001"/>
    <x v="0"/>
  </r>
  <r>
    <s v="ORD-10347"/>
    <x v="270"/>
    <s v="Michael Ramirez"/>
    <x v="4"/>
    <s v="Gym Bag"/>
    <x v="4"/>
    <n v="4"/>
    <n v="35.450000000000003"/>
    <n v="10"/>
    <n v="127.62"/>
    <n v="38.21"/>
    <x v="2"/>
  </r>
  <r>
    <s v="ORD-10348"/>
    <x v="271"/>
    <s v="Sarah Clark"/>
    <x v="3"/>
    <s v="Cargo Shorts"/>
    <x v="3"/>
    <n v="2"/>
    <n v="58.02"/>
    <n v="25"/>
    <n v="87.03"/>
    <n v="40.72"/>
    <x v="0"/>
  </r>
  <r>
    <s v="ORD-10349"/>
    <x v="45"/>
    <s v="Donna Lewis"/>
    <x v="2"/>
    <s v="Webcam HD"/>
    <x v="0"/>
    <n v="1"/>
    <n v="121.3"/>
    <n v="0"/>
    <n v="121.3"/>
    <n v="20.79"/>
    <x v="1"/>
  </r>
  <r>
    <s v="ORD-10350"/>
    <x v="81"/>
    <s v="Andrew Perez"/>
    <x v="0"/>
    <s v="Knife Set"/>
    <x v="2"/>
    <n v="1"/>
    <n v="49.34"/>
    <n v="10"/>
    <n v="44.41"/>
    <n v="12.49"/>
    <x v="0"/>
  </r>
  <r>
    <s v="ORD-10351"/>
    <x v="272"/>
    <s v="Sandra Brown"/>
    <x v="4"/>
    <s v="Casual Sneakers"/>
    <x v="3"/>
    <n v="1"/>
    <n v="74.7"/>
    <n v="5"/>
    <n v="70.97"/>
    <n v="31.73"/>
    <x v="0"/>
  </r>
  <r>
    <s v="ORD-10352"/>
    <x v="273"/>
    <s v="Joseph Lee"/>
    <x v="2"/>
    <s v="Wool Sweater"/>
    <x v="3"/>
    <n v="1"/>
    <n v="30.6"/>
    <n v="5"/>
    <n v="29.07"/>
    <n v="10.32"/>
    <x v="0"/>
  </r>
  <r>
    <s v="ORD-10353"/>
    <x v="274"/>
    <s v="Ashley Wilson"/>
    <x v="4"/>
    <s v="Webcam HD"/>
    <x v="0"/>
    <n v="1"/>
    <n v="117.26"/>
    <n v="15"/>
    <n v="99.67"/>
    <n v="18.7"/>
    <x v="1"/>
  </r>
  <r>
    <s v="ORD-10354"/>
    <x v="220"/>
    <s v="Dorothy Hernandez"/>
    <x v="3"/>
    <s v="Foam Roller"/>
    <x v="4"/>
    <n v="1"/>
    <n v="31.8"/>
    <n v="15"/>
    <n v="27.03"/>
    <n v="7.93"/>
    <x v="2"/>
  </r>
  <r>
    <s v="ORD-10355"/>
    <x v="245"/>
    <s v="Matthew Rodriguez"/>
    <x v="1"/>
    <s v="Athletic Socks"/>
    <x v="3"/>
    <n v="1"/>
    <n v="77.89"/>
    <n v="10"/>
    <n v="70.099999999999994"/>
    <n v="28.88"/>
    <x v="1"/>
  </r>
  <r>
    <s v="ORD-10356"/>
    <x v="178"/>
    <s v="Michael Thomas"/>
    <x v="0"/>
    <s v="Mouse Wireless"/>
    <x v="0"/>
    <n v="5"/>
    <n v="115.36"/>
    <n v="20"/>
    <n v="461.44"/>
    <n v="62.12"/>
    <x v="0"/>
  </r>
  <r>
    <s v="ORD-10357"/>
    <x v="257"/>
    <s v="Linda Clark"/>
    <x v="1"/>
    <s v="Face Mask Pack"/>
    <x v="1"/>
    <n v="1"/>
    <n v="49.28"/>
    <n v="20"/>
    <n v="39.42"/>
    <n v="25.49"/>
    <x v="0"/>
  </r>
  <r>
    <s v="ORD-10358"/>
    <x v="174"/>
    <s v="Sarah Anderson"/>
    <x v="1"/>
    <s v="Cargo Shorts"/>
    <x v="3"/>
    <n v="2"/>
    <n v="25.33"/>
    <n v="10"/>
    <n v="45.59"/>
    <n v="20.97"/>
    <x v="0"/>
  </r>
  <r>
    <s v="ORD-10359"/>
    <x v="275"/>
    <s v="Linda Harris"/>
    <x v="1"/>
    <s v="Rain Jacket"/>
    <x v="3"/>
    <n v="1"/>
    <n v="21.47"/>
    <n v="20"/>
    <n v="17.18"/>
    <n v="9.18"/>
    <x v="1"/>
  </r>
  <r>
    <s v="ORD-10360"/>
    <x v="276"/>
    <s v="Daniel Smith"/>
    <x v="2"/>
    <s v="Cotton T-Shirt"/>
    <x v="3"/>
    <n v="1"/>
    <n v="22.47"/>
    <n v="10"/>
    <n v="20.22"/>
    <n v="7.46"/>
    <x v="1"/>
  </r>
  <r>
    <s v="ORD-10361"/>
    <x v="277"/>
    <s v="Kimberly Thomas"/>
    <x v="3"/>
    <s v="Swim Goggles"/>
    <x v="4"/>
    <n v="1"/>
    <n v="44.78"/>
    <n v="20"/>
    <n v="35.82"/>
    <n v="8.5"/>
    <x v="1"/>
  </r>
  <r>
    <s v="ORD-10362"/>
    <x v="278"/>
    <s v="Kenneth Johnson"/>
    <x v="3"/>
    <s v="Jump Rope"/>
    <x v="4"/>
    <n v="1"/>
    <n v="38.869999999999997"/>
    <n v="0"/>
    <n v="38.869999999999997"/>
    <n v="8.41"/>
    <x v="2"/>
  </r>
  <r>
    <s v="ORD-10363"/>
    <x v="279"/>
    <s v="Michelle Miller"/>
    <x v="2"/>
    <s v="Face Moisturizer"/>
    <x v="1"/>
    <n v="4"/>
    <n v="37.78"/>
    <n v="10"/>
    <n v="136.01"/>
    <n v="85.85"/>
    <x v="0"/>
  </r>
  <r>
    <s v="ORD-10364"/>
    <x v="280"/>
    <s v="Emily Lopez"/>
    <x v="4"/>
    <s v="Body Lotion"/>
    <x v="1"/>
    <n v="1"/>
    <n v="43.25"/>
    <n v="5"/>
    <n v="41.09"/>
    <n v="17.87"/>
    <x v="1"/>
  </r>
  <r>
    <s v="ORD-10365"/>
    <x v="258"/>
    <s v="Christopher Gonzalez"/>
    <x v="4"/>
    <s v="Face Mask Pack"/>
    <x v="1"/>
    <n v="2"/>
    <n v="32.15"/>
    <n v="10"/>
    <n v="57.87"/>
    <n v="26.67"/>
    <x v="0"/>
  </r>
  <r>
    <s v="ORD-10366"/>
    <x v="281"/>
    <s v="Anthony Lopez"/>
    <x v="1"/>
    <s v="Face Mask Pack"/>
    <x v="1"/>
    <n v="1"/>
    <n v="45.21"/>
    <n v="10"/>
    <n v="40.69"/>
    <n v="24.66"/>
    <x v="1"/>
  </r>
  <r>
    <s v="ORD-10367"/>
    <x v="282"/>
    <s v="Mark Thompson"/>
    <x v="4"/>
    <s v="Portable Charger"/>
    <x v="0"/>
    <n v="4"/>
    <n v="118.28"/>
    <n v="5"/>
    <n v="449.46"/>
    <n v="50.38"/>
    <x v="1"/>
  </r>
  <r>
    <s v="ORD-10368"/>
    <x v="283"/>
    <s v="Joshua Clark"/>
    <x v="1"/>
    <s v="Jump Rope"/>
    <x v="4"/>
    <n v="1"/>
    <n v="23.11"/>
    <n v="15"/>
    <n v="19.64"/>
    <n v="5.92"/>
    <x v="0"/>
  </r>
  <r>
    <s v="ORD-10369"/>
    <x v="284"/>
    <s v="Richard Davis"/>
    <x v="4"/>
    <s v="Tablet Case"/>
    <x v="0"/>
    <n v="2"/>
    <n v="112.49"/>
    <n v="0"/>
    <n v="224.98"/>
    <n v="20.440000000000001"/>
    <x v="0"/>
  </r>
  <r>
    <s v="ORD-10370"/>
    <x v="43"/>
    <s v="Donna Wilson"/>
    <x v="2"/>
    <s v="Water Bottle"/>
    <x v="4"/>
    <n v="2"/>
    <n v="42.24"/>
    <n v="15"/>
    <n v="71.81"/>
    <n v="23.54"/>
    <x v="0"/>
  </r>
  <r>
    <s v="ORD-10371"/>
    <x v="285"/>
    <s v="Sandra Lee"/>
    <x v="0"/>
    <s v="Shampoo Organic"/>
    <x v="1"/>
    <n v="1"/>
    <n v="49.72"/>
    <n v="10"/>
    <n v="44.75"/>
    <n v="18.27"/>
    <x v="0"/>
  </r>
  <r>
    <s v="ORD-10372"/>
    <x v="286"/>
    <s v="Linda Harris"/>
    <x v="4"/>
    <s v="Desk Lamp"/>
    <x v="2"/>
    <n v="3"/>
    <n v="41.19"/>
    <n v="5"/>
    <n v="117.39"/>
    <n v="44.58"/>
    <x v="0"/>
  </r>
  <r>
    <s v="ORD-10373"/>
    <x v="266"/>
    <s v="Daniel Ramirez"/>
    <x v="0"/>
    <s v="Water Bottle"/>
    <x v="4"/>
    <n v="4"/>
    <n v="14.87"/>
    <n v="0"/>
    <n v="59.48"/>
    <n v="18.739999999999998"/>
    <x v="0"/>
  </r>
  <r>
    <s v="ORD-10374"/>
    <x v="45"/>
    <s v="Anthony Lewis"/>
    <x v="3"/>
    <s v="Resistance Bands"/>
    <x v="4"/>
    <n v="2"/>
    <n v="51.27"/>
    <n v="10"/>
    <n v="92.29"/>
    <n v="26.05"/>
    <x v="0"/>
  </r>
  <r>
    <s v="ORD-10375"/>
    <x v="32"/>
    <s v="Jessica Perez"/>
    <x v="0"/>
    <s v="Jump Rope"/>
    <x v="4"/>
    <n v="4"/>
    <n v="12.01"/>
    <n v="0"/>
    <n v="48.04"/>
    <n v="11.02"/>
    <x v="0"/>
  </r>
  <r>
    <s v="ORD-10376"/>
    <x v="202"/>
    <s v="Michelle Brown"/>
    <x v="0"/>
    <s v="USB-C Hub"/>
    <x v="0"/>
    <n v="4"/>
    <n v="45.17"/>
    <n v="20"/>
    <n v="144.54"/>
    <n v="35.28"/>
    <x v="1"/>
  </r>
  <r>
    <s v="ORD-10377"/>
    <x v="287"/>
    <s v="Michelle Brown"/>
    <x v="2"/>
    <s v="Shampoo Organic"/>
    <x v="1"/>
    <n v="1"/>
    <n v="7.17"/>
    <n v="5"/>
    <n v="6.81"/>
    <n v="2.79"/>
    <x v="1"/>
  </r>
  <r>
    <s v="ORD-10378"/>
    <x v="288"/>
    <s v="Mary Brown"/>
    <x v="4"/>
    <s v="Bluetooth Speaker"/>
    <x v="0"/>
    <n v="5"/>
    <n v="69.13"/>
    <n v="10"/>
    <n v="311.08"/>
    <n v="26.4"/>
    <x v="1"/>
  </r>
  <r>
    <s v="ORD-10379"/>
    <x v="163"/>
    <s v="Emily Hernandez"/>
    <x v="3"/>
    <s v="Body Lotion"/>
    <x v="1"/>
    <n v="1"/>
    <n v="26.36"/>
    <n v="5"/>
    <n v="25.04"/>
    <n v="14.27"/>
    <x v="1"/>
  </r>
  <r>
    <s v="ORD-10380"/>
    <x v="289"/>
    <s v="Mark Clark"/>
    <x v="1"/>
    <s v="Dumbbells 10lb"/>
    <x v="4"/>
    <n v="4"/>
    <n v="16"/>
    <n v="0"/>
    <n v="64"/>
    <n v="13.86"/>
    <x v="1"/>
  </r>
  <r>
    <s v="ORD-10381"/>
    <x v="83"/>
    <s v="Donna Moore"/>
    <x v="1"/>
    <s v="Body Lotion"/>
    <x v="1"/>
    <n v="1"/>
    <n v="35.4"/>
    <n v="10"/>
    <n v="31.86"/>
    <n v="15"/>
    <x v="1"/>
  </r>
  <r>
    <s v="ORD-10382"/>
    <x v="127"/>
    <s v="Christopher Lee"/>
    <x v="3"/>
    <s v="Resistance Bands"/>
    <x v="4"/>
    <n v="1"/>
    <n v="8.6199999999999992"/>
    <n v="5"/>
    <n v="8.19"/>
    <n v="1.92"/>
    <x v="1"/>
  </r>
  <r>
    <s v="ORD-10383"/>
    <x v="49"/>
    <s v="Jessica Davis"/>
    <x v="1"/>
    <s v="Dumbbells 10lb"/>
    <x v="4"/>
    <n v="1"/>
    <n v="43.88"/>
    <n v="0"/>
    <n v="43.88"/>
    <n v="10.98"/>
    <x v="0"/>
  </r>
  <r>
    <s v="ORD-10384"/>
    <x v="290"/>
    <s v="Richard Davis"/>
    <x v="3"/>
    <s v="Yoga Pants"/>
    <x v="3"/>
    <n v="1"/>
    <n v="49.4"/>
    <n v="15"/>
    <n v="41.99"/>
    <n v="16.399999999999999"/>
    <x v="2"/>
  </r>
  <r>
    <s v="ORD-10385"/>
    <x v="291"/>
    <s v="Sarah Williams"/>
    <x v="0"/>
    <s v="Blender"/>
    <x v="2"/>
    <n v="3"/>
    <n v="12.67"/>
    <n v="10"/>
    <n v="34.21"/>
    <n v="9.67"/>
    <x v="1"/>
  </r>
  <r>
    <s v="ORD-10386"/>
    <x v="18"/>
    <s v="Kevin Jones"/>
    <x v="1"/>
    <s v="Hair Oil"/>
    <x v="1"/>
    <n v="2"/>
    <n v="40.89"/>
    <n v="5"/>
    <n v="77.69"/>
    <n v="36.36"/>
    <x v="0"/>
  </r>
  <r>
    <s v="ORD-10387"/>
    <x v="292"/>
    <s v="Thomas Williams"/>
    <x v="0"/>
    <s v="Shampoo Organic"/>
    <x v="1"/>
    <n v="2"/>
    <n v="43.22"/>
    <n v="0"/>
    <n v="86.44"/>
    <n v="44.95"/>
    <x v="0"/>
  </r>
  <r>
    <s v="ORD-10388"/>
    <x v="125"/>
    <s v="Susan Taylor"/>
    <x v="0"/>
    <s v="Cycling Gloves"/>
    <x v="4"/>
    <n v="2"/>
    <n v="59.71"/>
    <n v="5"/>
    <n v="113.45"/>
    <n v="38.35"/>
    <x v="0"/>
  </r>
  <r>
    <s v="ORD-10389"/>
    <x v="293"/>
    <s v="Mark Brown"/>
    <x v="3"/>
    <s v="Cycling Gloves"/>
    <x v="4"/>
    <n v="1"/>
    <n v="26.83"/>
    <n v="5"/>
    <n v="25.49"/>
    <n v="4.4000000000000004"/>
    <x v="2"/>
  </r>
  <r>
    <s v="ORD-10390"/>
    <x v="294"/>
    <s v="Emily Sanchez"/>
    <x v="3"/>
    <s v="Cotton T-Shirt"/>
    <x v="3"/>
    <n v="4"/>
    <n v="21.51"/>
    <n v="20"/>
    <n v="68.83"/>
    <n v="30.87"/>
    <x v="1"/>
  </r>
  <r>
    <s v="ORD-10391"/>
    <x v="295"/>
    <s v="Matthew Hernandez"/>
    <x v="3"/>
    <s v="Webcam HD"/>
    <x v="0"/>
    <n v="2"/>
    <n v="125.79"/>
    <n v="10"/>
    <n v="226.42"/>
    <n v="44.56"/>
    <x v="0"/>
  </r>
  <r>
    <s v="ORD-10392"/>
    <x v="296"/>
    <s v="Barbara Robinson"/>
    <x v="4"/>
    <s v="Cutting Board"/>
    <x v="2"/>
    <n v="1"/>
    <n v="49.92"/>
    <n v="15"/>
    <n v="42.43"/>
    <n v="8.5"/>
    <x v="0"/>
  </r>
  <r>
    <s v="ORD-10393"/>
    <x v="14"/>
    <s v="Carol Smith"/>
    <x v="1"/>
    <s v="Throw Blanket"/>
    <x v="2"/>
    <n v="2"/>
    <n v="48.89"/>
    <n v="15"/>
    <n v="83.11"/>
    <n v="19.3"/>
    <x v="2"/>
  </r>
  <r>
    <s v="ORD-10394"/>
    <x v="1"/>
    <s v="Emily Moore"/>
    <x v="2"/>
    <s v="Pillow Set"/>
    <x v="2"/>
    <n v="2"/>
    <n v="16.329999999999998"/>
    <n v="10"/>
    <n v="29.39"/>
    <n v="6.57"/>
    <x v="0"/>
  </r>
  <r>
    <s v="ORD-10395"/>
    <x v="105"/>
    <s v="Michelle Miller"/>
    <x v="3"/>
    <s v="Hair Oil"/>
    <x v="1"/>
    <n v="1"/>
    <n v="21.55"/>
    <n v="0"/>
    <n v="21.55"/>
    <n v="13.71"/>
    <x v="1"/>
  </r>
  <r>
    <s v="ORD-10396"/>
    <x v="297"/>
    <s v="James Jones"/>
    <x v="2"/>
    <s v="Cotton T-Shirt"/>
    <x v="3"/>
    <n v="1"/>
    <n v="40.14"/>
    <n v="0"/>
    <n v="40.14"/>
    <n v="14.65"/>
    <x v="0"/>
  </r>
  <r>
    <s v="ORD-10397"/>
    <x v="298"/>
    <s v="Kevin Lee"/>
    <x v="1"/>
    <s v="Webcam HD"/>
    <x v="0"/>
    <n v="3"/>
    <n v="25.01"/>
    <n v="10"/>
    <n v="67.53"/>
    <n v="5.62"/>
    <x v="0"/>
  </r>
  <r>
    <s v="ORD-10398"/>
    <x v="299"/>
    <s v="Mary Anderson"/>
    <x v="0"/>
    <s v="Dumbbells 10lb"/>
    <x v="4"/>
    <n v="1"/>
    <n v="45.87"/>
    <n v="15"/>
    <n v="38.99"/>
    <n v="12.7"/>
    <x v="1"/>
  </r>
  <r>
    <s v="ORD-10399"/>
    <x v="75"/>
    <s v="Carol Ramirez"/>
    <x v="0"/>
    <s v="Face Mask Pack"/>
    <x v="1"/>
    <n v="1"/>
    <n v="38.82"/>
    <n v="0"/>
    <n v="38.82"/>
    <n v="20.39"/>
    <x v="2"/>
  </r>
  <r>
    <s v="ORD-10400"/>
    <x v="250"/>
    <s v="Donald Perez"/>
    <x v="4"/>
    <s v="Smart Watch"/>
    <x v="0"/>
    <n v="1"/>
    <n v="90.33"/>
    <n v="0"/>
    <n v="90.33"/>
    <n v="20.309999999999999"/>
    <x v="1"/>
  </r>
  <r>
    <s v="ORD-10401"/>
    <x v="300"/>
    <s v="Steven Jones"/>
    <x v="1"/>
    <s v="Cycling Gloves"/>
    <x v="4"/>
    <n v="1"/>
    <n v="32.49"/>
    <n v="0"/>
    <n v="32.49"/>
    <n v="10.55"/>
    <x v="2"/>
  </r>
  <r>
    <s v="ORD-10402"/>
    <x v="301"/>
    <s v="Anthony Harris"/>
    <x v="3"/>
    <s v="Mouse Wireless"/>
    <x v="0"/>
    <n v="2"/>
    <n v="77.89"/>
    <n v="15"/>
    <n v="132.41"/>
    <n v="15.69"/>
    <x v="0"/>
  </r>
  <r>
    <s v="ORD-10403"/>
    <x v="188"/>
    <s v="Kimberly Taylor"/>
    <x v="0"/>
    <s v="Nail Polish Set"/>
    <x v="1"/>
    <n v="1"/>
    <n v="31.32"/>
    <n v="15"/>
    <n v="26.62"/>
    <n v="16.77"/>
    <x v="2"/>
  </r>
  <r>
    <s v="ORD-10404"/>
    <x v="302"/>
    <s v="Mary Anderson"/>
    <x v="4"/>
    <s v="Body Lotion"/>
    <x v="1"/>
    <n v="2"/>
    <n v="22.24"/>
    <n v="0"/>
    <n v="44.48"/>
    <n v="22.37"/>
    <x v="0"/>
  </r>
  <r>
    <s v="ORD-10405"/>
    <x v="303"/>
    <s v="Anthony Smith"/>
    <x v="2"/>
    <s v="Lip Balm Set"/>
    <x v="1"/>
    <n v="1"/>
    <n v="22.47"/>
    <n v="5"/>
    <n v="21.35"/>
    <n v="12.98"/>
    <x v="0"/>
  </r>
  <r>
    <s v="ORD-10406"/>
    <x v="232"/>
    <s v="Joshua Lewis"/>
    <x v="3"/>
    <s v="Eye Cream"/>
    <x v="1"/>
    <n v="2"/>
    <n v="48.7"/>
    <n v="0"/>
    <n v="97.4"/>
    <n v="41.83"/>
    <x v="1"/>
  </r>
  <r>
    <s v="ORD-10407"/>
    <x v="304"/>
    <s v="Paul Anderson"/>
    <x v="4"/>
    <s v="Eye Cream"/>
    <x v="1"/>
    <n v="2"/>
    <n v="44.74"/>
    <n v="10"/>
    <n v="80.53"/>
    <n v="33.020000000000003"/>
    <x v="0"/>
  </r>
  <r>
    <s v="ORD-10408"/>
    <x v="305"/>
    <s v="Sarah Sanchez"/>
    <x v="4"/>
    <s v="Knife Set"/>
    <x v="2"/>
    <n v="2"/>
    <n v="21.41"/>
    <n v="5"/>
    <n v="40.68"/>
    <n v="9.35"/>
    <x v="0"/>
  </r>
  <r>
    <s v="ORD-10409"/>
    <x v="168"/>
    <s v="James Jackson"/>
    <x v="0"/>
    <s v="Body Lotion"/>
    <x v="1"/>
    <n v="2"/>
    <n v="23.62"/>
    <n v="10"/>
    <n v="42.52"/>
    <n v="27.61"/>
    <x v="0"/>
  </r>
  <r>
    <s v="ORD-10410"/>
    <x v="81"/>
    <s v="Michael Lee"/>
    <x v="4"/>
    <s v="Mouse Wireless"/>
    <x v="0"/>
    <n v="2"/>
    <n v="102.04"/>
    <n v="0"/>
    <n v="204.08"/>
    <n v="32.79"/>
    <x v="0"/>
  </r>
  <r>
    <s v="ORD-10411"/>
    <x v="266"/>
    <s v="Thomas Harris"/>
    <x v="4"/>
    <s v="Resistance Bands"/>
    <x v="4"/>
    <n v="3"/>
    <n v="54.12"/>
    <n v="0"/>
    <n v="162.36000000000001"/>
    <n v="43.74"/>
    <x v="1"/>
  </r>
  <r>
    <s v="ORD-10412"/>
    <x v="306"/>
    <s v="Nancy Harris"/>
    <x v="3"/>
    <s v="Eye Cream"/>
    <x v="1"/>
    <n v="2"/>
    <n v="8.18"/>
    <n v="10"/>
    <n v="14.72"/>
    <n v="7.34"/>
    <x v="0"/>
  </r>
  <r>
    <s v="ORD-10413"/>
    <x v="307"/>
    <s v="Donald Lopez"/>
    <x v="4"/>
    <s v="Polo Shirt"/>
    <x v="3"/>
    <n v="1"/>
    <n v="83.69"/>
    <n v="15"/>
    <n v="71.14"/>
    <n v="27.94"/>
    <x v="0"/>
  </r>
  <r>
    <s v="ORD-10414"/>
    <x v="308"/>
    <s v="Richard Moore"/>
    <x v="1"/>
    <s v="Polo Shirt"/>
    <x v="3"/>
    <n v="2"/>
    <n v="22.08"/>
    <n v="0"/>
    <n v="44.16"/>
    <n v="14.46"/>
    <x v="0"/>
  </r>
  <r>
    <s v="ORD-10415"/>
    <x v="309"/>
    <s v="Thomas Johnson"/>
    <x v="1"/>
    <s v="Lip Balm Set"/>
    <x v="1"/>
    <n v="5"/>
    <n v="19.52"/>
    <n v="0"/>
    <n v="97.6"/>
    <n v="49"/>
    <x v="0"/>
  </r>
  <r>
    <s v="ORD-10416"/>
    <x v="287"/>
    <s v="James Anderson"/>
    <x v="0"/>
    <s v="Smart Watch"/>
    <x v="0"/>
    <n v="1"/>
    <n v="67.91"/>
    <n v="5"/>
    <n v="64.510000000000005"/>
    <n v="5.68"/>
    <x v="0"/>
  </r>
  <r>
    <s v="ORD-10417"/>
    <x v="149"/>
    <s v="Jessica Harris"/>
    <x v="0"/>
    <s v="Portable Charger"/>
    <x v="0"/>
    <n v="2"/>
    <n v="84.53"/>
    <n v="5"/>
    <n v="160.61000000000001"/>
    <n v="20.65"/>
    <x v="0"/>
  </r>
  <r>
    <s v="ORD-10418"/>
    <x v="310"/>
    <s v="Andrew Thompson"/>
    <x v="3"/>
    <s v="Eye Cream"/>
    <x v="1"/>
    <n v="1"/>
    <n v="35.85"/>
    <n v="15"/>
    <n v="30.47"/>
    <n v="17.28"/>
    <x v="0"/>
  </r>
  <r>
    <s v="ORD-10419"/>
    <x v="311"/>
    <s v="Kenneth Thompson"/>
    <x v="4"/>
    <s v="Jump Rope"/>
    <x v="4"/>
    <n v="2"/>
    <n v="46.56"/>
    <n v="10"/>
    <n v="83.81"/>
    <n v="14.41"/>
    <x v="0"/>
  </r>
  <r>
    <s v="ORD-10420"/>
    <x v="312"/>
    <s v="Joseph Clark"/>
    <x v="2"/>
    <s v="Hair Oil"/>
    <x v="1"/>
    <n v="1"/>
    <n v="33.229999999999997"/>
    <n v="0"/>
    <n v="33.229999999999997"/>
    <n v="19.399999999999999"/>
    <x v="0"/>
  </r>
  <r>
    <s v="ORD-10421"/>
    <x v="183"/>
    <s v="Daniel Garcia"/>
    <x v="4"/>
    <s v="Cycling Gloves"/>
    <x v="4"/>
    <n v="1"/>
    <n v="57.96"/>
    <n v="0"/>
    <n v="57.96"/>
    <n v="17.96"/>
    <x v="1"/>
  </r>
  <r>
    <s v="ORD-10422"/>
    <x v="281"/>
    <s v="Robert Martin"/>
    <x v="2"/>
    <s v="Denim Jacket"/>
    <x v="3"/>
    <n v="3"/>
    <n v="76.22"/>
    <n v="10"/>
    <n v="205.79"/>
    <n v="100.29"/>
    <x v="1"/>
  </r>
  <r>
    <s v="ORD-10423"/>
    <x v="40"/>
    <s v="Joshua Johnson"/>
    <x v="2"/>
    <s v="Sunscreen SPF50"/>
    <x v="1"/>
    <n v="3"/>
    <n v="27.12"/>
    <n v="0"/>
    <n v="81.36"/>
    <n v="41.37"/>
    <x v="0"/>
  </r>
  <r>
    <s v="ORD-10424"/>
    <x v="313"/>
    <s v="Thomas Thomas"/>
    <x v="4"/>
    <s v="Resistance Bands"/>
    <x v="4"/>
    <n v="5"/>
    <n v="53.24"/>
    <n v="20"/>
    <n v="212.96"/>
    <n v="47.97"/>
    <x v="1"/>
  </r>
  <r>
    <s v="ORD-10425"/>
    <x v="261"/>
    <s v="Anthony Gonzalez"/>
    <x v="1"/>
    <s v="Jump Rope"/>
    <x v="4"/>
    <n v="4"/>
    <n v="10.15"/>
    <n v="10"/>
    <n v="36.54"/>
    <n v="9.36"/>
    <x v="1"/>
  </r>
  <r>
    <s v="ORD-10426"/>
    <x v="314"/>
    <s v="Richard Harris"/>
    <x v="1"/>
    <s v="Polo Shirt"/>
    <x v="3"/>
    <n v="2"/>
    <n v="80.599999999999994"/>
    <n v="0"/>
    <n v="161.19999999999999"/>
    <n v="85.53"/>
    <x v="0"/>
  </r>
  <r>
    <s v="ORD-10427"/>
    <x v="315"/>
    <s v="Betty Taylor"/>
    <x v="1"/>
    <s v="Webcam HD"/>
    <x v="0"/>
    <n v="1"/>
    <n v="139.68"/>
    <n v="0"/>
    <n v="139.68"/>
    <n v="28.79"/>
    <x v="0"/>
  </r>
  <r>
    <s v="ORD-10428"/>
    <x v="316"/>
    <s v="James Ramirez"/>
    <x v="0"/>
    <s v="Eye Cream"/>
    <x v="1"/>
    <n v="4"/>
    <n v="47.81"/>
    <n v="0"/>
    <n v="191.24"/>
    <n v="85.8"/>
    <x v="1"/>
  </r>
  <r>
    <s v="ORD-10429"/>
    <x v="317"/>
    <s v="Anthony Anderson"/>
    <x v="4"/>
    <s v="Resistance Bands"/>
    <x v="4"/>
    <n v="3"/>
    <n v="32.340000000000003"/>
    <n v="10"/>
    <n v="87.32"/>
    <n v="15.17"/>
    <x v="1"/>
  </r>
  <r>
    <s v="ORD-10430"/>
    <x v="316"/>
    <s v="David Jones"/>
    <x v="0"/>
    <s v="Shampoo Organic"/>
    <x v="1"/>
    <n v="1"/>
    <n v="38.909999999999997"/>
    <n v="0"/>
    <n v="38.909999999999997"/>
    <n v="25.28"/>
    <x v="1"/>
  </r>
  <r>
    <s v="ORD-10431"/>
    <x v="3"/>
    <s v="Susan Thompson"/>
    <x v="3"/>
    <s v="Rain Jacket"/>
    <x v="3"/>
    <n v="1"/>
    <n v="62.84"/>
    <n v="20"/>
    <n v="50.27"/>
    <n v="21.42"/>
    <x v="1"/>
  </r>
  <r>
    <s v="ORD-10432"/>
    <x v="130"/>
    <s v="Susan Lopez"/>
    <x v="1"/>
    <s v="Foam Roller"/>
    <x v="4"/>
    <n v="1"/>
    <n v="56.55"/>
    <n v="5"/>
    <n v="53.72"/>
    <n v="8.81"/>
    <x v="0"/>
  </r>
  <r>
    <s v="ORD-10433"/>
    <x v="136"/>
    <s v="James Jackson"/>
    <x v="4"/>
    <s v="USB-C Hub"/>
    <x v="0"/>
    <n v="3"/>
    <n v="116.21"/>
    <n v="0"/>
    <n v="348.63"/>
    <n v="35.26"/>
    <x v="0"/>
  </r>
  <r>
    <s v="ORD-10434"/>
    <x v="204"/>
    <s v="Ashley Lee"/>
    <x v="2"/>
    <s v="Face Mask Pack"/>
    <x v="1"/>
    <n v="1"/>
    <n v="35"/>
    <n v="5"/>
    <n v="33.25"/>
    <n v="15.19"/>
    <x v="1"/>
  </r>
  <r>
    <s v="ORD-10435"/>
    <x v="223"/>
    <s v="Jennifer Brown"/>
    <x v="3"/>
    <s v="Perfume Travel"/>
    <x v="1"/>
    <n v="2"/>
    <n v="15.43"/>
    <n v="5"/>
    <n v="29.32"/>
    <n v="18.399999999999999"/>
    <x v="0"/>
  </r>
  <r>
    <s v="ORD-10436"/>
    <x v="318"/>
    <s v="Barbara Perez"/>
    <x v="4"/>
    <s v="Blender"/>
    <x v="2"/>
    <n v="2"/>
    <n v="51.54"/>
    <n v="0"/>
    <n v="103.08"/>
    <n v="32.86"/>
    <x v="1"/>
  </r>
  <r>
    <s v="ORD-10437"/>
    <x v="88"/>
    <s v="Michelle Martin"/>
    <x v="1"/>
    <s v="USB-C Hub"/>
    <x v="0"/>
    <n v="5"/>
    <n v="36.299999999999997"/>
    <n v="5"/>
    <n v="172.43"/>
    <n v="24.66"/>
    <x v="2"/>
  </r>
  <r>
    <s v="ORD-10438"/>
    <x v="319"/>
    <s v="Michael Jackson"/>
    <x v="2"/>
    <s v="Knife Set"/>
    <x v="2"/>
    <n v="2"/>
    <n v="49.17"/>
    <n v="5"/>
    <n v="93.42"/>
    <n v="33.18"/>
    <x v="1"/>
  </r>
  <r>
    <s v="ORD-10439"/>
    <x v="320"/>
    <s v="Elizabeth Gonzalez"/>
    <x v="1"/>
    <s v="Cutting Board"/>
    <x v="2"/>
    <n v="2"/>
    <n v="38.81"/>
    <n v="15"/>
    <n v="65.98"/>
    <n v="17.690000000000001"/>
    <x v="1"/>
  </r>
  <r>
    <s v="ORD-10440"/>
    <x v="321"/>
    <s v="Sarah Johnson"/>
    <x v="0"/>
    <s v="Foam Roller"/>
    <x v="4"/>
    <n v="2"/>
    <n v="38.549999999999997"/>
    <n v="0"/>
    <n v="77.099999999999994"/>
    <n v="12.11"/>
    <x v="0"/>
  </r>
  <r>
    <s v="ORD-10441"/>
    <x v="125"/>
    <s v="Matthew Lopez"/>
    <x v="4"/>
    <s v="Gym Bag"/>
    <x v="4"/>
    <n v="2"/>
    <n v="15.05"/>
    <n v="0"/>
    <n v="30.1"/>
    <n v="5.37"/>
    <x v="2"/>
  </r>
  <r>
    <s v="ORD-10442"/>
    <x v="322"/>
    <s v="Robert Brown"/>
    <x v="1"/>
    <s v="Scented Candle Set"/>
    <x v="2"/>
    <n v="3"/>
    <n v="22.26"/>
    <n v="5"/>
    <n v="63.44"/>
    <n v="19.63"/>
    <x v="1"/>
  </r>
  <r>
    <s v="ORD-10443"/>
    <x v="150"/>
    <s v="Mary Brown"/>
    <x v="0"/>
    <s v="Sunscreen SPF50"/>
    <x v="1"/>
    <n v="4"/>
    <n v="33.99"/>
    <n v="5"/>
    <n v="129.16"/>
    <n v="83.02"/>
    <x v="2"/>
  </r>
  <r>
    <s v="ORD-10444"/>
    <x v="323"/>
    <s v="Thomas Brown"/>
    <x v="4"/>
    <s v="Face Mask Pack"/>
    <x v="1"/>
    <n v="3"/>
    <n v="30.57"/>
    <n v="20"/>
    <n v="73.37"/>
    <n v="45.6"/>
    <x v="1"/>
  </r>
  <r>
    <s v="ORD-10445"/>
    <x v="204"/>
    <s v="Carol Martinez"/>
    <x v="1"/>
    <s v="Laptop Stand"/>
    <x v="0"/>
    <n v="3"/>
    <n v="56.27"/>
    <n v="0"/>
    <n v="168.81"/>
    <n v="27.47"/>
    <x v="2"/>
  </r>
  <r>
    <s v="ORD-10446"/>
    <x v="324"/>
    <s v="Kenneth Perez"/>
    <x v="0"/>
    <s v="Storage Bins"/>
    <x v="2"/>
    <n v="1"/>
    <n v="28.57"/>
    <n v="15"/>
    <n v="24.28"/>
    <n v="8.52"/>
    <x v="2"/>
  </r>
  <r>
    <s v="ORD-10447"/>
    <x v="48"/>
    <s v="William Johnson"/>
    <x v="2"/>
    <s v="Coffee Maker"/>
    <x v="2"/>
    <n v="3"/>
    <n v="13.31"/>
    <n v="20"/>
    <n v="31.94"/>
    <n v="12.71"/>
    <x v="2"/>
  </r>
  <r>
    <s v="ORD-10448"/>
    <x v="325"/>
    <s v="Michael Williams"/>
    <x v="1"/>
    <s v="Eye Cream"/>
    <x v="1"/>
    <n v="1"/>
    <n v="36.67"/>
    <n v="5"/>
    <n v="34.840000000000003"/>
    <n v="22.12"/>
    <x v="1"/>
  </r>
  <r>
    <s v="ORD-10449"/>
    <x v="132"/>
    <s v="Sarah Garcia"/>
    <x v="1"/>
    <s v="Cycling Gloves"/>
    <x v="4"/>
    <n v="1"/>
    <n v="19.78"/>
    <n v="0"/>
    <n v="19.78"/>
    <n v="3.27"/>
    <x v="1"/>
  </r>
  <r>
    <s v="ORD-10450"/>
    <x v="326"/>
    <s v="Linda Williams"/>
    <x v="0"/>
    <s v="Nail Polish Set"/>
    <x v="1"/>
    <n v="1"/>
    <n v="18.39"/>
    <n v="10"/>
    <n v="16.55"/>
    <n v="7.93"/>
    <x v="1"/>
  </r>
  <r>
    <s v="ORD-10451"/>
    <x v="287"/>
    <s v="Jessica Williams"/>
    <x v="1"/>
    <s v="Dumbbells 10lb"/>
    <x v="4"/>
    <n v="2"/>
    <n v="45.32"/>
    <n v="5"/>
    <n v="86.11"/>
    <n v="23.2"/>
    <x v="0"/>
  </r>
  <r>
    <s v="ORD-10452"/>
    <x v="327"/>
    <s v="Kenneth Sanchez"/>
    <x v="4"/>
    <s v="Wireless Headphones"/>
    <x v="0"/>
    <n v="1"/>
    <n v="32.770000000000003"/>
    <n v="0"/>
    <n v="32.770000000000003"/>
    <n v="5.77"/>
    <x v="2"/>
  </r>
  <r>
    <s v="ORD-10453"/>
    <x v="295"/>
    <s v="Lisa Lewis"/>
    <x v="2"/>
    <s v="Casual Sneakers"/>
    <x v="3"/>
    <n v="1"/>
    <n v="84.47"/>
    <n v="5"/>
    <n v="80.25"/>
    <n v="25.12"/>
    <x v="1"/>
  </r>
  <r>
    <s v="ORD-10454"/>
    <x v="219"/>
    <s v="Carol Garcia"/>
    <x v="3"/>
    <s v="Cycling Gloves"/>
    <x v="4"/>
    <n v="3"/>
    <n v="20.239999999999998"/>
    <n v="10"/>
    <n v="54.65"/>
    <n v="16.09"/>
    <x v="1"/>
  </r>
  <r>
    <s v="ORD-10455"/>
    <x v="327"/>
    <s v="Richard White"/>
    <x v="4"/>
    <s v="Hair Oil"/>
    <x v="1"/>
    <n v="3"/>
    <n v="23.7"/>
    <n v="0"/>
    <n v="71.099999999999994"/>
    <n v="37.24"/>
    <x v="0"/>
  </r>
  <r>
    <s v="ORD-10456"/>
    <x v="328"/>
    <s v="James Taylor"/>
    <x v="1"/>
    <s v="Portable Charger"/>
    <x v="0"/>
    <n v="1"/>
    <n v="37.14"/>
    <n v="5"/>
    <n v="35.28"/>
    <n v="7.62"/>
    <x v="2"/>
  </r>
  <r>
    <s v="ORD-10457"/>
    <x v="329"/>
    <s v="William Lewis"/>
    <x v="3"/>
    <s v="Eye Cream"/>
    <x v="1"/>
    <n v="1"/>
    <n v="34.17"/>
    <n v="0"/>
    <n v="34.17"/>
    <n v="16.7"/>
    <x v="0"/>
  </r>
  <r>
    <s v="ORD-10458"/>
    <x v="330"/>
    <s v="David Garcia"/>
    <x v="3"/>
    <s v="Nail Polish Set"/>
    <x v="1"/>
    <n v="2"/>
    <n v="38.67"/>
    <n v="0"/>
    <n v="77.34"/>
    <n v="49.11"/>
    <x v="0"/>
  </r>
  <r>
    <s v="ORD-10459"/>
    <x v="331"/>
    <s v="Betty Ramirez"/>
    <x v="4"/>
    <s v="Swim Goggles"/>
    <x v="4"/>
    <n v="2"/>
    <n v="30.35"/>
    <n v="20"/>
    <n v="48.56"/>
    <n v="12.29"/>
    <x v="0"/>
  </r>
  <r>
    <s v="ORD-10460"/>
    <x v="220"/>
    <s v="Paul Garcia"/>
    <x v="1"/>
    <s v="Athletic Socks"/>
    <x v="3"/>
    <n v="2"/>
    <n v="52.04"/>
    <n v="0"/>
    <n v="104.08"/>
    <n v="32.659999999999997"/>
    <x v="0"/>
  </r>
  <r>
    <s v="ORD-10461"/>
    <x v="332"/>
    <s v="Sandra Williams"/>
    <x v="2"/>
    <s v="Mouse Wireless"/>
    <x v="0"/>
    <n v="3"/>
    <n v="29.39"/>
    <n v="5"/>
    <n v="83.76"/>
    <n v="9.49"/>
    <x v="0"/>
  </r>
  <r>
    <s v="ORD-10462"/>
    <x v="275"/>
    <s v="Donna White"/>
    <x v="1"/>
    <s v="Shampoo Organic"/>
    <x v="1"/>
    <n v="2"/>
    <n v="43.71"/>
    <n v="5"/>
    <n v="83.05"/>
    <n v="45.49"/>
    <x v="0"/>
  </r>
  <r>
    <s v="ORD-10463"/>
    <x v="333"/>
    <s v="David Martinez"/>
    <x v="2"/>
    <s v="Gym Bag"/>
    <x v="4"/>
    <n v="3"/>
    <n v="52.74"/>
    <n v="5"/>
    <n v="150.31"/>
    <n v="33.56"/>
    <x v="0"/>
  </r>
  <r>
    <s v="ORD-10464"/>
    <x v="334"/>
    <s v="Joshua Lee"/>
    <x v="4"/>
    <s v="Nail Polish Set"/>
    <x v="1"/>
    <n v="2"/>
    <n v="34.24"/>
    <n v="10"/>
    <n v="61.63"/>
    <n v="33.03"/>
    <x v="1"/>
  </r>
  <r>
    <s v="ORD-10465"/>
    <x v="335"/>
    <s v="Karen Smith"/>
    <x v="1"/>
    <s v="Keyboard Mechanical"/>
    <x v="0"/>
    <n v="1"/>
    <n v="111.49"/>
    <n v="15"/>
    <n v="94.77"/>
    <n v="22.05"/>
    <x v="1"/>
  </r>
  <r>
    <s v="ORD-10466"/>
    <x v="336"/>
    <s v="Barbara Miller"/>
    <x v="1"/>
    <s v="Door Mat"/>
    <x v="2"/>
    <n v="3"/>
    <n v="62.6"/>
    <n v="15"/>
    <n v="159.63"/>
    <n v="35.57"/>
    <x v="0"/>
  </r>
  <r>
    <s v="ORD-10467"/>
    <x v="32"/>
    <s v="Dorothy Johnson"/>
    <x v="3"/>
    <s v="Wool Sweater"/>
    <x v="3"/>
    <n v="1"/>
    <n v="28.32"/>
    <n v="5"/>
    <n v="26.9"/>
    <n v="13.73"/>
    <x v="2"/>
  </r>
  <r>
    <s v="ORD-10468"/>
    <x v="337"/>
    <s v="Linda Garcia"/>
    <x v="4"/>
    <s v="Wool Sweater"/>
    <x v="3"/>
    <n v="1"/>
    <n v="27.35"/>
    <n v="5"/>
    <n v="25.98"/>
    <n v="10.199999999999999"/>
    <x v="0"/>
  </r>
  <r>
    <s v="ORD-10469"/>
    <x v="228"/>
    <s v="Thomas Gonzalez"/>
    <x v="4"/>
    <s v="Body Lotion"/>
    <x v="1"/>
    <n v="1"/>
    <n v="43.54"/>
    <n v="0"/>
    <n v="43.54"/>
    <n v="19.52"/>
    <x v="0"/>
  </r>
  <r>
    <s v="ORD-10470"/>
    <x v="338"/>
    <s v="Matthew Robinson"/>
    <x v="1"/>
    <s v="Cotton T-Shirt"/>
    <x v="3"/>
    <n v="2"/>
    <n v="64.89"/>
    <n v="10"/>
    <n v="116.8"/>
    <n v="39.409999999999997"/>
    <x v="1"/>
  </r>
  <r>
    <s v="ORD-10471"/>
    <x v="9"/>
    <s v="Carol Robinson"/>
    <x v="4"/>
    <s v="USB-C Hub"/>
    <x v="0"/>
    <n v="2"/>
    <n v="77.540000000000006"/>
    <n v="10"/>
    <n v="139.57"/>
    <n v="27.17"/>
    <x v="1"/>
  </r>
  <r>
    <s v="ORD-10472"/>
    <x v="286"/>
    <s v="Daniel Clark"/>
    <x v="1"/>
    <s v="Casual Sneakers"/>
    <x v="3"/>
    <n v="2"/>
    <n v="37.979999999999997"/>
    <n v="10"/>
    <n v="68.36"/>
    <n v="27.39"/>
    <x v="1"/>
  </r>
  <r>
    <s v="ORD-10473"/>
    <x v="264"/>
    <s v="Betty Davis"/>
    <x v="3"/>
    <s v="Cutting Board"/>
    <x v="2"/>
    <n v="1"/>
    <n v="55.66"/>
    <n v="10"/>
    <n v="50.09"/>
    <n v="19.05"/>
    <x v="1"/>
  </r>
  <r>
    <s v="ORD-10474"/>
    <x v="339"/>
    <s v="Richard Ramirez"/>
    <x v="1"/>
    <s v="Pillow Set"/>
    <x v="2"/>
    <n v="1"/>
    <n v="11.18"/>
    <n v="5"/>
    <n v="10.62"/>
    <n v="2.8"/>
    <x v="0"/>
  </r>
  <r>
    <s v="ORD-10475"/>
    <x v="340"/>
    <s v="Jennifer Johnson"/>
    <x v="4"/>
    <s v="Foam Roller"/>
    <x v="4"/>
    <n v="1"/>
    <n v="19.97"/>
    <n v="0"/>
    <n v="19.97"/>
    <n v="3.54"/>
    <x v="0"/>
  </r>
  <r>
    <s v="ORD-10476"/>
    <x v="341"/>
    <s v="Thomas Jones"/>
    <x v="2"/>
    <s v="Running Shoes"/>
    <x v="3"/>
    <n v="3"/>
    <n v="60.62"/>
    <n v="0"/>
    <n v="181.86"/>
    <n v="84.52"/>
    <x v="1"/>
  </r>
  <r>
    <s v="ORD-10477"/>
    <x v="284"/>
    <s v="Matthew Sanchez"/>
    <x v="1"/>
    <s v="Scented Candle Set"/>
    <x v="2"/>
    <n v="1"/>
    <n v="36"/>
    <n v="10"/>
    <n v="32.4"/>
    <n v="9.68"/>
    <x v="0"/>
  </r>
  <r>
    <s v="ORD-10478"/>
    <x v="342"/>
    <s v="Michael Miller"/>
    <x v="3"/>
    <s v="Gym Bag"/>
    <x v="4"/>
    <n v="1"/>
    <n v="24.47"/>
    <n v="20"/>
    <n v="19.579999999999998"/>
    <n v="4.62"/>
    <x v="0"/>
  </r>
  <r>
    <s v="ORD-10479"/>
    <x v="343"/>
    <s v="Robert Anderson"/>
    <x v="1"/>
    <s v="Denim Jacket"/>
    <x v="3"/>
    <n v="1"/>
    <n v="77.14"/>
    <n v="0"/>
    <n v="77.14"/>
    <n v="25.92"/>
    <x v="0"/>
  </r>
  <r>
    <s v="ORD-10480"/>
    <x v="211"/>
    <s v="Mary Brown"/>
    <x v="2"/>
    <s v="Pillow Set"/>
    <x v="2"/>
    <n v="2"/>
    <n v="21.3"/>
    <n v="0"/>
    <n v="42.6"/>
    <n v="10.44"/>
    <x v="0"/>
  </r>
  <r>
    <s v="ORD-10481"/>
    <x v="344"/>
    <s v="Christopher Ramirez"/>
    <x v="4"/>
    <s v="Bluetooth Speaker"/>
    <x v="0"/>
    <n v="2"/>
    <n v="135.74"/>
    <n v="20"/>
    <n v="217.18"/>
    <n v="53.09"/>
    <x v="0"/>
  </r>
  <r>
    <s v="ORD-10482"/>
    <x v="345"/>
    <s v="Kimberly Johnson"/>
    <x v="1"/>
    <s v="Denim Jacket"/>
    <x v="3"/>
    <n v="4"/>
    <n v="85.61"/>
    <n v="15"/>
    <n v="291.07"/>
    <n v="159.84"/>
    <x v="0"/>
  </r>
  <r>
    <s v="ORD-10483"/>
    <x v="346"/>
    <s v="Sarah Thompson"/>
    <x v="2"/>
    <s v="Sunscreen SPF50"/>
    <x v="1"/>
    <n v="5"/>
    <n v="21.11"/>
    <n v="10"/>
    <n v="95"/>
    <n v="59.17"/>
    <x v="1"/>
  </r>
  <r>
    <s v="ORD-10484"/>
    <x v="347"/>
    <s v="Thomas Johnson"/>
    <x v="1"/>
    <s v="Knife Set"/>
    <x v="2"/>
    <n v="3"/>
    <n v="63.39"/>
    <n v="5"/>
    <n v="180.66"/>
    <n v="66.38"/>
    <x v="0"/>
  </r>
  <r>
    <s v="ORD-10485"/>
    <x v="348"/>
    <s v="Donald Martinez"/>
    <x v="3"/>
    <s v="Swim Goggles"/>
    <x v="4"/>
    <n v="2"/>
    <n v="37.36"/>
    <n v="10"/>
    <n v="67.25"/>
    <n v="18.489999999999998"/>
    <x v="2"/>
  </r>
  <r>
    <s v="ORD-10486"/>
    <x v="349"/>
    <s v="Nancy Williams"/>
    <x v="1"/>
    <s v="Water Bottle"/>
    <x v="4"/>
    <n v="2"/>
    <n v="36.1"/>
    <n v="5"/>
    <n v="68.59"/>
    <n v="17.489999999999998"/>
    <x v="1"/>
  </r>
  <r>
    <s v="ORD-10487"/>
    <x v="350"/>
    <s v="Andrew Hernandez"/>
    <x v="1"/>
    <s v="Desk Lamp"/>
    <x v="2"/>
    <n v="1"/>
    <n v="62.85"/>
    <n v="0"/>
    <n v="62.85"/>
    <n v="23.27"/>
    <x v="0"/>
  </r>
  <r>
    <s v="ORD-10488"/>
    <x v="38"/>
    <s v="James Anderson"/>
    <x v="0"/>
    <s v="Sunscreen SPF50"/>
    <x v="1"/>
    <n v="1"/>
    <n v="30.3"/>
    <n v="15"/>
    <n v="25.76"/>
    <n v="14.33"/>
    <x v="1"/>
  </r>
  <r>
    <s v="ORD-10489"/>
    <x v="351"/>
    <s v="Kimberly Lewis"/>
    <x v="1"/>
    <s v="Swim Goggles"/>
    <x v="4"/>
    <n v="2"/>
    <n v="58.72"/>
    <n v="0"/>
    <n v="117.44"/>
    <n v="25.02"/>
    <x v="1"/>
  </r>
  <r>
    <s v="ORD-10490"/>
    <x v="96"/>
    <s v="Joseph Taylor"/>
    <x v="1"/>
    <s v="Perfume Travel"/>
    <x v="1"/>
    <n v="2"/>
    <n v="31.66"/>
    <n v="15"/>
    <n v="53.82"/>
    <n v="31.53"/>
    <x v="0"/>
  </r>
  <r>
    <s v="ORD-10491"/>
    <x v="199"/>
    <s v="Karen Perez"/>
    <x v="4"/>
    <s v="Cargo Shorts"/>
    <x v="3"/>
    <n v="2"/>
    <n v="46.18"/>
    <n v="0"/>
    <n v="92.36"/>
    <n v="45.51"/>
    <x v="1"/>
  </r>
  <r>
    <s v="ORD-10492"/>
    <x v="304"/>
    <s v="James Anderson"/>
    <x v="1"/>
    <s v="Gym Bag"/>
    <x v="4"/>
    <n v="4"/>
    <n v="51.81"/>
    <n v="5"/>
    <n v="196.88"/>
    <n v="48.45"/>
    <x v="1"/>
  </r>
  <r>
    <s v="ORD-10493"/>
    <x v="64"/>
    <s v="Richard Brown"/>
    <x v="1"/>
    <s v="Yoga Mat"/>
    <x v="4"/>
    <n v="1"/>
    <n v="11.77"/>
    <n v="0"/>
    <n v="11.77"/>
    <n v="2.48"/>
    <x v="1"/>
  </r>
  <r>
    <s v="ORD-10494"/>
    <x v="352"/>
    <s v="Jessica Johnson"/>
    <x v="4"/>
    <s v="Storage Bins"/>
    <x v="2"/>
    <n v="1"/>
    <n v="49.49"/>
    <n v="0"/>
    <n v="49.49"/>
    <n v="13.98"/>
    <x v="1"/>
  </r>
  <r>
    <s v="ORD-10495"/>
    <x v="273"/>
    <s v="Kevin White"/>
    <x v="1"/>
    <s v="Casual Sneakers"/>
    <x v="3"/>
    <n v="2"/>
    <n v="52.91"/>
    <n v="10"/>
    <n v="95.24"/>
    <n v="41.68"/>
    <x v="0"/>
  </r>
  <r>
    <s v="ORD-10496"/>
    <x v="353"/>
    <s v="David Moore"/>
    <x v="0"/>
    <s v="Resistance Bands"/>
    <x v="4"/>
    <n v="3"/>
    <n v="39.03"/>
    <n v="25"/>
    <n v="87.82"/>
    <n v="26.26"/>
    <x v="1"/>
  </r>
  <r>
    <s v="ORD-10497"/>
    <x v="329"/>
    <s v="James Miller"/>
    <x v="1"/>
    <s v="Nail Polish Set"/>
    <x v="1"/>
    <n v="2"/>
    <n v="9"/>
    <n v="0"/>
    <n v="18"/>
    <n v="10.61"/>
    <x v="0"/>
  </r>
  <r>
    <s v="ORD-10498"/>
    <x v="349"/>
    <s v="Steven Ramirez"/>
    <x v="2"/>
    <s v="Cotton T-Shirt"/>
    <x v="3"/>
    <n v="1"/>
    <n v="43.17"/>
    <n v="0"/>
    <n v="43.17"/>
    <n v="22.43"/>
    <x v="0"/>
  </r>
  <r>
    <s v="ORD-10499"/>
    <x v="354"/>
    <s v="Barbara Hernandez"/>
    <x v="3"/>
    <s v="Eye Cream"/>
    <x v="1"/>
    <n v="2"/>
    <n v="21.03"/>
    <n v="5"/>
    <n v="39.96"/>
    <n v="22.13"/>
    <x v="0"/>
  </r>
  <r>
    <s v="ORD-10500"/>
    <x v="120"/>
    <s v="Thomas Williams"/>
    <x v="0"/>
    <s v="Face Moisturizer"/>
    <x v="1"/>
    <n v="1"/>
    <n v="26.51"/>
    <n v="15"/>
    <n v="22.53"/>
    <n v="9.73"/>
    <x v="1"/>
  </r>
  <r>
    <s v="ORD-10501"/>
    <x v="30"/>
    <s v="Michelle Sanchez"/>
    <x v="3"/>
    <s v="Gym Bag"/>
    <x v="4"/>
    <n v="3"/>
    <n v="19.27"/>
    <n v="0"/>
    <n v="57.81"/>
    <n v="12.03"/>
    <x v="0"/>
  </r>
  <r>
    <s v="ORD-10502"/>
    <x v="103"/>
    <s v="Dorothy Sanchez"/>
    <x v="4"/>
    <s v="Bluetooth Speaker"/>
    <x v="0"/>
    <n v="3"/>
    <n v="61.12"/>
    <n v="0"/>
    <n v="183.36"/>
    <n v="30.18"/>
    <x v="0"/>
  </r>
  <r>
    <s v="ORD-10503"/>
    <x v="2"/>
    <s v="Jessica Harris"/>
    <x v="2"/>
    <s v="Athletic Socks"/>
    <x v="3"/>
    <n v="1"/>
    <n v="37.65"/>
    <n v="10"/>
    <n v="33.89"/>
    <n v="13.5"/>
    <x v="1"/>
  </r>
  <r>
    <s v="ORD-10504"/>
    <x v="355"/>
    <s v="Daniel Brown"/>
    <x v="4"/>
    <s v="USB-C Hub"/>
    <x v="0"/>
    <n v="5"/>
    <n v="60.77"/>
    <n v="10"/>
    <n v="273.47000000000003"/>
    <n v="30.53"/>
    <x v="0"/>
  </r>
  <r>
    <s v="ORD-10505"/>
    <x v="356"/>
    <s v="Jennifer Martin"/>
    <x v="0"/>
    <s v="Laptop Stand"/>
    <x v="0"/>
    <n v="1"/>
    <n v="141.66"/>
    <n v="5"/>
    <n v="134.58000000000001"/>
    <n v="25.72"/>
    <x v="0"/>
  </r>
  <r>
    <s v="ORD-10506"/>
    <x v="227"/>
    <s v="Kevin Brown"/>
    <x v="2"/>
    <s v="Water Bottle"/>
    <x v="4"/>
    <n v="2"/>
    <n v="52.33"/>
    <n v="15"/>
    <n v="88.96"/>
    <n v="28.53"/>
    <x v="0"/>
  </r>
  <r>
    <s v="ORD-10507"/>
    <x v="55"/>
    <s v="Joshua Lewis"/>
    <x v="1"/>
    <s v="Scented Candle Set"/>
    <x v="2"/>
    <n v="4"/>
    <n v="74.36"/>
    <n v="10"/>
    <n v="267.7"/>
    <n v="79.23"/>
    <x v="0"/>
  </r>
  <r>
    <s v="ORD-10508"/>
    <x v="357"/>
    <s v="Daniel Robinson"/>
    <x v="0"/>
    <s v="Cutting Board"/>
    <x v="2"/>
    <n v="5"/>
    <n v="48.14"/>
    <n v="10"/>
    <n v="216.63"/>
    <n v="49.94"/>
    <x v="0"/>
  </r>
  <r>
    <s v="ORD-10509"/>
    <x v="114"/>
    <s v="Betty Lopez"/>
    <x v="4"/>
    <s v="Bluetooth Speaker"/>
    <x v="0"/>
    <n v="1"/>
    <n v="85.98"/>
    <n v="10"/>
    <n v="77.38"/>
    <n v="8.8800000000000008"/>
    <x v="1"/>
  </r>
  <r>
    <s v="ORD-10510"/>
    <x v="358"/>
    <s v="Barbara Sanchez"/>
    <x v="3"/>
    <s v="Body Lotion"/>
    <x v="1"/>
    <n v="1"/>
    <n v="19.62"/>
    <n v="10"/>
    <n v="17.66"/>
    <n v="11.24"/>
    <x v="0"/>
  </r>
  <r>
    <s v="ORD-10511"/>
    <x v="359"/>
    <s v="Susan White"/>
    <x v="0"/>
    <s v="Face Mask Pack"/>
    <x v="1"/>
    <n v="1"/>
    <n v="40.299999999999997"/>
    <n v="10"/>
    <n v="36.270000000000003"/>
    <n v="22.49"/>
    <x v="0"/>
  </r>
  <r>
    <s v="ORD-10512"/>
    <x v="360"/>
    <s v="Robert Lee"/>
    <x v="0"/>
    <s v="Denim Jacket"/>
    <x v="3"/>
    <n v="4"/>
    <n v="85.7"/>
    <n v="5"/>
    <n v="325.66000000000003"/>
    <n v="138.62"/>
    <x v="0"/>
  </r>
  <r>
    <s v="ORD-10513"/>
    <x v="205"/>
    <s v="Barbara Hernandez"/>
    <x v="1"/>
    <s v="Body Lotion"/>
    <x v="1"/>
    <n v="1"/>
    <n v="14.47"/>
    <n v="5"/>
    <n v="13.75"/>
    <n v="8.06"/>
    <x v="1"/>
  </r>
  <r>
    <s v="ORD-10514"/>
    <x v="361"/>
    <s v="Joshua Thompson"/>
    <x v="3"/>
    <s v="Running Shoes"/>
    <x v="3"/>
    <n v="2"/>
    <n v="82.56"/>
    <n v="5"/>
    <n v="156.86000000000001"/>
    <n v="50.48"/>
    <x v="0"/>
  </r>
  <r>
    <s v="ORD-10515"/>
    <x v="362"/>
    <s v="Joshua Jackson"/>
    <x v="0"/>
    <s v="Perfume Travel"/>
    <x v="1"/>
    <n v="1"/>
    <n v="44.94"/>
    <n v="0"/>
    <n v="44.94"/>
    <n v="20.22"/>
    <x v="0"/>
  </r>
  <r>
    <s v="ORD-10516"/>
    <x v="304"/>
    <s v="Donna Lee"/>
    <x v="2"/>
    <s v="Cargo Shorts"/>
    <x v="3"/>
    <n v="2"/>
    <n v="59.61"/>
    <n v="15"/>
    <n v="101.34"/>
    <n v="45.43"/>
    <x v="1"/>
  </r>
  <r>
    <s v="ORD-10517"/>
    <x v="363"/>
    <s v="Carol Smith"/>
    <x v="2"/>
    <s v="Casual Sneakers"/>
    <x v="3"/>
    <n v="3"/>
    <n v="62.5"/>
    <n v="10"/>
    <n v="168.75"/>
    <n v="78.3"/>
    <x v="0"/>
  </r>
  <r>
    <s v="ORD-10518"/>
    <x v="364"/>
    <s v="Robert Brown"/>
    <x v="1"/>
    <s v="Cutting Board"/>
    <x v="2"/>
    <n v="2"/>
    <n v="57.59"/>
    <n v="25"/>
    <n v="86.39"/>
    <n v="25.75"/>
    <x v="0"/>
  </r>
  <r>
    <s v="ORD-10519"/>
    <x v="179"/>
    <s v="Joseph Harris"/>
    <x v="1"/>
    <s v="Resistance Bands"/>
    <x v="4"/>
    <n v="1"/>
    <n v="39.17"/>
    <n v="5"/>
    <n v="37.21"/>
    <n v="10.91"/>
    <x v="1"/>
  </r>
  <r>
    <s v="ORD-10520"/>
    <x v="212"/>
    <s v="William Hernandez"/>
    <x v="2"/>
    <s v="Resistance Bands"/>
    <x v="4"/>
    <n v="2"/>
    <n v="16.43"/>
    <n v="0"/>
    <n v="32.86"/>
    <n v="5.53"/>
    <x v="2"/>
  </r>
  <r>
    <s v="ORD-10521"/>
    <x v="300"/>
    <s v="Robert Brown"/>
    <x v="3"/>
    <s v="Webcam HD"/>
    <x v="0"/>
    <n v="1"/>
    <n v="131.80000000000001"/>
    <n v="25"/>
    <n v="98.85"/>
    <n v="18.079999999999998"/>
    <x v="0"/>
  </r>
  <r>
    <s v="ORD-10522"/>
    <x v="147"/>
    <s v="Sarah Miller"/>
    <x v="0"/>
    <s v="Denim Jacket"/>
    <x v="3"/>
    <n v="1"/>
    <n v="44.29"/>
    <n v="5"/>
    <n v="42.08"/>
    <n v="14.63"/>
    <x v="1"/>
  </r>
  <r>
    <s v="ORD-10523"/>
    <x v="365"/>
    <s v="Paul Rodriguez"/>
    <x v="2"/>
    <s v="Desk Lamp"/>
    <x v="2"/>
    <n v="2"/>
    <n v="64.260000000000005"/>
    <n v="0"/>
    <n v="128.52000000000001"/>
    <n v="43.56"/>
    <x v="1"/>
  </r>
  <r>
    <s v="ORD-10524"/>
    <x v="66"/>
    <s v="David Perez"/>
    <x v="3"/>
    <s v="Eye Cream"/>
    <x v="1"/>
    <n v="3"/>
    <n v="22.03"/>
    <n v="5"/>
    <n v="62.79"/>
    <n v="33.01"/>
    <x v="0"/>
  </r>
  <r>
    <s v="ORD-10525"/>
    <x v="201"/>
    <s v="Carol Robinson"/>
    <x v="4"/>
    <s v="Shampoo Organic"/>
    <x v="1"/>
    <n v="1"/>
    <n v="14.05"/>
    <n v="10"/>
    <n v="12.65"/>
    <n v="7.09"/>
    <x v="0"/>
  </r>
  <r>
    <s v="ORD-10526"/>
    <x v="366"/>
    <s v="Dorothy Lopez"/>
    <x v="0"/>
    <s v="Cycling Gloves"/>
    <x v="4"/>
    <n v="1"/>
    <n v="10.93"/>
    <n v="15"/>
    <n v="9.2899999999999991"/>
    <n v="1.83"/>
    <x v="0"/>
  </r>
  <r>
    <s v="ORD-10527"/>
    <x v="367"/>
    <s v="Paul Rodriguez"/>
    <x v="2"/>
    <s v="Casual Sneakers"/>
    <x v="3"/>
    <n v="4"/>
    <n v="20.399999999999999"/>
    <n v="20"/>
    <n v="65.28"/>
    <n v="35.17"/>
    <x v="0"/>
  </r>
  <r>
    <s v="ORD-10528"/>
    <x v="368"/>
    <s v="Steven Lopez"/>
    <x v="2"/>
    <s v="Perfume Travel"/>
    <x v="1"/>
    <n v="2"/>
    <n v="29.21"/>
    <n v="10"/>
    <n v="52.58"/>
    <n v="25.93"/>
    <x v="0"/>
  </r>
  <r>
    <s v="ORD-10529"/>
    <x v="310"/>
    <s v="Jennifer Thompson"/>
    <x v="3"/>
    <s v="Rain Jacket"/>
    <x v="3"/>
    <n v="2"/>
    <n v="71.84"/>
    <n v="5"/>
    <n v="136.5"/>
    <n v="41.55"/>
    <x v="1"/>
  </r>
  <r>
    <s v="ORD-10530"/>
    <x v="139"/>
    <s v="Barbara Brown"/>
    <x v="1"/>
    <s v="Bluetooth Speaker"/>
    <x v="0"/>
    <n v="2"/>
    <n v="39.04"/>
    <n v="0"/>
    <n v="78.08"/>
    <n v="10.7"/>
    <x v="0"/>
  </r>
  <r>
    <s v="ORD-10531"/>
    <x v="23"/>
    <s v="Mary Jackson"/>
    <x v="3"/>
    <s v="Cutting Board"/>
    <x v="2"/>
    <n v="1"/>
    <n v="16.28"/>
    <n v="20"/>
    <n v="13.02"/>
    <n v="3.21"/>
    <x v="1"/>
  </r>
  <r>
    <s v="ORD-10532"/>
    <x v="276"/>
    <s v="Andrew White"/>
    <x v="0"/>
    <s v="Nail Polish Set"/>
    <x v="1"/>
    <n v="4"/>
    <n v="40.909999999999997"/>
    <n v="0"/>
    <n v="163.63999999999999"/>
    <n v="78.709999999999994"/>
    <x v="1"/>
  </r>
  <r>
    <s v="ORD-10533"/>
    <x v="144"/>
    <s v="Daniel Martin"/>
    <x v="2"/>
    <s v="USB-C Hub"/>
    <x v="0"/>
    <n v="2"/>
    <n v="100.54"/>
    <n v="20"/>
    <n v="160.86000000000001"/>
    <n v="28.91"/>
    <x v="0"/>
  </r>
  <r>
    <s v="ORD-10534"/>
    <x v="369"/>
    <s v="Lisa Gonzalez"/>
    <x v="4"/>
    <s v="Blender"/>
    <x v="2"/>
    <n v="1"/>
    <n v="29.55"/>
    <n v="15"/>
    <n v="25.12"/>
    <n v="9.69"/>
    <x v="0"/>
  </r>
  <r>
    <s v="ORD-10535"/>
    <x v="294"/>
    <s v="Lisa Perez"/>
    <x v="4"/>
    <s v="Jump Rope"/>
    <x v="4"/>
    <n v="3"/>
    <n v="32.76"/>
    <n v="0"/>
    <n v="98.28"/>
    <n v="17.850000000000001"/>
    <x v="0"/>
  </r>
  <r>
    <s v="ORD-10536"/>
    <x v="133"/>
    <s v="David Harris"/>
    <x v="3"/>
    <s v="Athletic Socks"/>
    <x v="3"/>
    <n v="2"/>
    <n v="24.25"/>
    <n v="15"/>
    <n v="41.23"/>
    <n v="16.559999999999999"/>
    <x v="1"/>
  </r>
  <r>
    <s v="ORD-10537"/>
    <x v="120"/>
    <s v="Ashley Williams"/>
    <x v="4"/>
    <s v="Throw Blanket"/>
    <x v="2"/>
    <n v="2"/>
    <n v="17.989999999999998"/>
    <n v="10"/>
    <n v="32.380000000000003"/>
    <n v="12.8"/>
    <x v="1"/>
  </r>
  <r>
    <s v="ORD-10538"/>
    <x v="370"/>
    <s v="Kevin Brown"/>
    <x v="1"/>
    <s v="Webcam HD"/>
    <x v="0"/>
    <n v="3"/>
    <n v="55.23"/>
    <n v="15"/>
    <n v="140.84"/>
    <n v="16.690000000000001"/>
    <x v="0"/>
  </r>
  <r>
    <s v="ORD-10539"/>
    <x v="371"/>
    <s v="Mark Robinson"/>
    <x v="0"/>
    <s v="Denim Jacket"/>
    <x v="3"/>
    <n v="1"/>
    <n v="46.03"/>
    <n v="10"/>
    <n v="41.43"/>
    <n v="21.19"/>
    <x v="0"/>
  </r>
  <r>
    <s v="ORD-10540"/>
    <x v="268"/>
    <s v="David Smith"/>
    <x v="0"/>
    <s v="Yoga Pants"/>
    <x v="3"/>
    <n v="4"/>
    <n v="53.56"/>
    <n v="0"/>
    <n v="214.24"/>
    <n v="66.34"/>
    <x v="0"/>
  </r>
  <r>
    <s v="ORD-10541"/>
    <x v="254"/>
    <s v="Robert Sanchez"/>
    <x v="4"/>
    <s v="Blender"/>
    <x v="2"/>
    <n v="3"/>
    <n v="67.36"/>
    <n v="0"/>
    <n v="202.08"/>
    <n v="80.58"/>
    <x v="0"/>
  </r>
  <r>
    <s v="ORD-10542"/>
    <x v="232"/>
    <s v="Jessica Moore"/>
    <x v="2"/>
    <s v="Polo Shirt"/>
    <x v="3"/>
    <n v="1"/>
    <n v="82.02"/>
    <n v="10"/>
    <n v="73.819999999999993"/>
    <n v="35.1"/>
    <x v="1"/>
  </r>
  <r>
    <s v="ORD-10543"/>
    <x v="372"/>
    <s v="Kimberly Martinez"/>
    <x v="4"/>
    <s v="Rain Jacket"/>
    <x v="3"/>
    <n v="5"/>
    <n v="26.63"/>
    <n v="15"/>
    <n v="113.18"/>
    <n v="47.3"/>
    <x v="0"/>
  </r>
  <r>
    <s v="ORD-10544"/>
    <x v="373"/>
    <s v="Donald Garcia"/>
    <x v="2"/>
    <s v="Desk Lamp"/>
    <x v="2"/>
    <n v="1"/>
    <n v="35.33"/>
    <n v="0"/>
    <n v="35.33"/>
    <n v="8.99"/>
    <x v="0"/>
  </r>
  <r>
    <s v="ORD-10545"/>
    <x v="337"/>
    <s v="Jennifer Robinson"/>
    <x v="2"/>
    <s v="Blender"/>
    <x v="2"/>
    <n v="4"/>
    <n v="18.87"/>
    <n v="0"/>
    <n v="75.48"/>
    <n v="15.21"/>
    <x v="0"/>
  </r>
  <r>
    <s v="ORD-10546"/>
    <x v="374"/>
    <s v="Thomas Clark"/>
    <x v="4"/>
    <s v="Storage Bins"/>
    <x v="2"/>
    <n v="1"/>
    <n v="12.14"/>
    <n v="15"/>
    <n v="10.32"/>
    <n v="3.32"/>
    <x v="1"/>
  </r>
  <r>
    <s v="ORD-10547"/>
    <x v="150"/>
    <s v="Anthony Ramirez"/>
    <x v="2"/>
    <s v="Blender"/>
    <x v="2"/>
    <n v="3"/>
    <n v="75.459999999999994"/>
    <n v="20"/>
    <n v="181.1"/>
    <n v="63.76"/>
    <x v="1"/>
  </r>
  <r>
    <s v="ORD-10548"/>
    <x v="375"/>
    <s v="Joshua Martinez"/>
    <x v="4"/>
    <s v="Knife Set"/>
    <x v="2"/>
    <n v="1"/>
    <n v="63.69"/>
    <n v="20"/>
    <n v="50.95"/>
    <n v="13.87"/>
    <x v="0"/>
  </r>
  <r>
    <s v="ORD-10549"/>
    <x v="119"/>
    <s v="Matthew Martinez"/>
    <x v="2"/>
    <s v="Scented Candle Set"/>
    <x v="2"/>
    <n v="1"/>
    <n v="10.18"/>
    <n v="0"/>
    <n v="10.18"/>
    <n v="2.3199999999999998"/>
    <x v="0"/>
  </r>
  <r>
    <s v="ORD-10550"/>
    <x v="306"/>
    <s v="Mark Garcia"/>
    <x v="2"/>
    <s v="Face Moisturizer"/>
    <x v="1"/>
    <n v="1"/>
    <n v="34.950000000000003"/>
    <n v="5"/>
    <n v="33.200000000000003"/>
    <n v="14.82"/>
    <x v="1"/>
  </r>
  <r>
    <s v="ORD-10551"/>
    <x v="116"/>
    <s v="Joshua Hernandez"/>
    <x v="3"/>
    <s v="Foam Roller"/>
    <x v="4"/>
    <n v="4"/>
    <n v="51.45"/>
    <n v="0"/>
    <n v="205.8"/>
    <n v="44.37"/>
    <x v="1"/>
  </r>
  <r>
    <s v="ORD-10552"/>
    <x v="376"/>
    <s v="Barbara Anderson"/>
    <x v="0"/>
    <s v="Webcam HD"/>
    <x v="0"/>
    <n v="2"/>
    <n v="86.94"/>
    <n v="5"/>
    <n v="165.19"/>
    <n v="31.57"/>
    <x v="2"/>
  </r>
  <r>
    <s v="ORD-10553"/>
    <x v="377"/>
    <s v="Jessica White"/>
    <x v="0"/>
    <s v="Foam Roller"/>
    <x v="4"/>
    <n v="2"/>
    <n v="14.89"/>
    <n v="10"/>
    <n v="26.8"/>
    <n v="7.8"/>
    <x v="0"/>
  </r>
  <r>
    <s v="ORD-10554"/>
    <x v="148"/>
    <s v="William Williams"/>
    <x v="3"/>
    <s v="Hair Oil"/>
    <x v="1"/>
    <n v="2"/>
    <n v="49.12"/>
    <n v="5"/>
    <n v="93.33"/>
    <n v="55.73"/>
    <x v="1"/>
  </r>
  <r>
    <s v="ORD-10555"/>
    <x v="378"/>
    <s v="Joshua Davis"/>
    <x v="2"/>
    <s v="Face Moisturizer"/>
    <x v="1"/>
    <n v="1"/>
    <n v="36.840000000000003"/>
    <n v="0"/>
    <n v="36.840000000000003"/>
    <n v="23.37"/>
    <x v="1"/>
  </r>
  <r>
    <s v="ORD-10556"/>
    <x v="340"/>
    <s v="Mary Lewis"/>
    <x v="1"/>
    <s v="Yoga Mat"/>
    <x v="4"/>
    <n v="3"/>
    <n v="15.54"/>
    <n v="0"/>
    <n v="46.62"/>
    <n v="11.91"/>
    <x v="0"/>
  </r>
  <r>
    <s v="ORD-10557"/>
    <x v="10"/>
    <s v="Thomas Moore"/>
    <x v="3"/>
    <s v="Face Moisturizer"/>
    <x v="1"/>
    <n v="1"/>
    <n v="7.53"/>
    <n v="10"/>
    <n v="6.78"/>
    <n v="4.1399999999999997"/>
    <x v="0"/>
  </r>
  <r>
    <s v="ORD-10558"/>
    <x v="379"/>
    <s v="Jennifer Johnson"/>
    <x v="0"/>
    <s v="Resistance Bands"/>
    <x v="4"/>
    <n v="2"/>
    <n v="22.86"/>
    <n v="10"/>
    <n v="41.15"/>
    <n v="11.75"/>
    <x v="2"/>
  </r>
  <r>
    <s v="ORD-10559"/>
    <x v="301"/>
    <s v="Kenneth Gonzalez"/>
    <x v="4"/>
    <s v="Denim Jacket"/>
    <x v="3"/>
    <n v="2"/>
    <n v="67.790000000000006"/>
    <n v="5"/>
    <n v="128.80000000000001"/>
    <n v="68.5"/>
    <x v="1"/>
  </r>
  <r>
    <s v="ORD-10560"/>
    <x v="380"/>
    <s v="William Smith"/>
    <x v="1"/>
    <s v="Jump Rope"/>
    <x v="4"/>
    <n v="1"/>
    <n v="45.68"/>
    <n v="0"/>
    <n v="45.68"/>
    <n v="9.1300000000000008"/>
    <x v="0"/>
  </r>
  <r>
    <s v="ORD-10561"/>
    <x v="381"/>
    <s v="Steven Clark"/>
    <x v="4"/>
    <s v="Sunscreen SPF50"/>
    <x v="1"/>
    <n v="3"/>
    <n v="35.96"/>
    <n v="0"/>
    <n v="107.88"/>
    <n v="59.17"/>
    <x v="0"/>
  </r>
  <r>
    <s v="ORD-10562"/>
    <x v="382"/>
    <s v="Richard Wilson"/>
    <x v="4"/>
    <s v="Laptop Stand"/>
    <x v="0"/>
    <n v="4"/>
    <n v="135.02000000000001"/>
    <n v="5"/>
    <n v="513.08000000000004"/>
    <n v="117.74"/>
    <x v="2"/>
  </r>
  <r>
    <s v="ORD-10563"/>
    <x v="383"/>
    <s v="Thomas Davis"/>
    <x v="2"/>
    <s v="Eye Cream"/>
    <x v="1"/>
    <n v="5"/>
    <n v="27.13"/>
    <n v="0"/>
    <n v="135.65"/>
    <n v="75.12"/>
    <x v="0"/>
  </r>
  <r>
    <s v="ORD-10564"/>
    <x v="384"/>
    <s v="Paul Wilson"/>
    <x v="3"/>
    <s v="Wireless Headphones"/>
    <x v="0"/>
    <n v="4"/>
    <n v="95.05"/>
    <n v="5"/>
    <n v="361.19"/>
    <n v="65.7"/>
    <x v="1"/>
  </r>
  <r>
    <s v="ORD-10565"/>
    <x v="385"/>
    <s v="Jessica Sanchez"/>
    <x v="3"/>
    <s v="Webcam HD"/>
    <x v="0"/>
    <n v="4"/>
    <n v="136.08000000000001"/>
    <n v="0"/>
    <n v="544.32000000000005"/>
    <n v="64.180000000000007"/>
    <x v="1"/>
  </r>
  <r>
    <s v="ORD-10566"/>
    <x v="386"/>
    <s v="Joseph Lopez"/>
    <x v="0"/>
    <s v="Water Bottle"/>
    <x v="4"/>
    <n v="2"/>
    <n v="48.08"/>
    <n v="15"/>
    <n v="81.739999999999995"/>
    <n v="28.36"/>
    <x v="2"/>
  </r>
  <r>
    <s v="ORD-10567"/>
    <x v="339"/>
    <s v="Lisa Brown"/>
    <x v="1"/>
    <s v="Lip Balm Set"/>
    <x v="1"/>
    <n v="1"/>
    <n v="15.62"/>
    <n v="10"/>
    <n v="14.06"/>
    <n v="5.88"/>
    <x v="1"/>
  </r>
  <r>
    <s v="ORD-10568"/>
    <x v="387"/>
    <s v="Donna Clark"/>
    <x v="1"/>
    <s v="Gym Bag"/>
    <x v="4"/>
    <n v="1"/>
    <n v="30.02"/>
    <n v="0"/>
    <n v="30.02"/>
    <n v="8.24"/>
    <x v="1"/>
  </r>
  <r>
    <s v="ORD-10569"/>
    <x v="305"/>
    <s v="Karen Lee"/>
    <x v="1"/>
    <s v="Desk Lamp"/>
    <x v="2"/>
    <n v="2"/>
    <n v="58.48"/>
    <n v="0"/>
    <n v="116.96"/>
    <n v="33.01"/>
    <x v="1"/>
  </r>
  <r>
    <s v="ORD-10570"/>
    <x v="362"/>
    <s v="Lisa Davis"/>
    <x v="3"/>
    <s v="Shampoo Organic"/>
    <x v="1"/>
    <n v="1"/>
    <n v="29.24"/>
    <n v="5"/>
    <n v="27.78"/>
    <n v="12.67"/>
    <x v="1"/>
  </r>
  <r>
    <s v="ORD-10571"/>
    <x v="133"/>
    <s v="Kimberly Jackson"/>
    <x v="0"/>
    <s v="Gym Bag"/>
    <x v="4"/>
    <n v="2"/>
    <n v="17.579999999999998"/>
    <n v="20"/>
    <n v="28.13"/>
    <n v="7.63"/>
    <x v="0"/>
  </r>
  <r>
    <s v="ORD-10572"/>
    <x v="388"/>
    <s v="Christopher Thompson"/>
    <x v="2"/>
    <s v="Sunscreen SPF50"/>
    <x v="1"/>
    <n v="1"/>
    <n v="9.92"/>
    <n v="0"/>
    <n v="9.92"/>
    <n v="5.35"/>
    <x v="1"/>
  </r>
  <r>
    <s v="ORD-10573"/>
    <x v="253"/>
    <s v="William Anderson"/>
    <x v="4"/>
    <s v="Swim Goggles"/>
    <x v="4"/>
    <n v="1"/>
    <n v="38.03"/>
    <n v="0"/>
    <n v="38.03"/>
    <n v="9.6199999999999992"/>
    <x v="1"/>
  </r>
  <r>
    <s v="ORD-10574"/>
    <x v="389"/>
    <s v="Michelle Rodriguez"/>
    <x v="0"/>
    <s v="Desk Lamp"/>
    <x v="2"/>
    <n v="2"/>
    <n v="30.57"/>
    <n v="5"/>
    <n v="58.08"/>
    <n v="15.95"/>
    <x v="0"/>
  </r>
  <r>
    <s v="ORD-10575"/>
    <x v="390"/>
    <s v="Richard White"/>
    <x v="0"/>
    <s v="Face Moisturizer"/>
    <x v="1"/>
    <n v="1"/>
    <n v="22.58"/>
    <n v="10"/>
    <n v="20.32"/>
    <n v="8.6999999999999993"/>
    <x v="1"/>
  </r>
  <r>
    <s v="ORD-10576"/>
    <x v="391"/>
    <s v="Andrew Robinson"/>
    <x v="1"/>
    <s v="Foam Roller"/>
    <x v="4"/>
    <n v="1"/>
    <n v="48.63"/>
    <n v="15"/>
    <n v="41.34"/>
    <n v="9.15"/>
    <x v="0"/>
  </r>
  <r>
    <s v="ORD-10577"/>
    <x v="371"/>
    <s v="Matthew Lopez"/>
    <x v="0"/>
    <s v="Keyboard Mechanical"/>
    <x v="0"/>
    <n v="1"/>
    <n v="133.26"/>
    <n v="10"/>
    <n v="119.93"/>
    <n v="24.67"/>
    <x v="0"/>
  </r>
  <r>
    <s v="ORD-10578"/>
    <x v="46"/>
    <s v="Susan Jackson"/>
    <x v="2"/>
    <s v="Webcam HD"/>
    <x v="0"/>
    <n v="1"/>
    <n v="94.84"/>
    <n v="5"/>
    <n v="90.1"/>
    <n v="21.14"/>
    <x v="0"/>
  </r>
  <r>
    <s v="ORD-10579"/>
    <x v="392"/>
    <s v="Lisa Ramirez"/>
    <x v="1"/>
    <s v="Jump Rope"/>
    <x v="4"/>
    <n v="3"/>
    <n v="10.66"/>
    <n v="10"/>
    <n v="28.78"/>
    <n v="4.4400000000000004"/>
    <x v="0"/>
  </r>
  <r>
    <s v="ORD-10580"/>
    <x v="342"/>
    <s v="Andrew Hernandez"/>
    <x v="0"/>
    <s v="Jump Rope"/>
    <x v="4"/>
    <n v="2"/>
    <n v="52.8"/>
    <n v="10"/>
    <n v="95.04"/>
    <n v="17.66"/>
    <x v="1"/>
  </r>
  <r>
    <s v="ORD-10581"/>
    <x v="300"/>
    <s v="Matthew Taylor"/>
    <x v="3"/>
    <s v="Athletic Socks"/>
    <x v="3"/>
    <n v="1"/>
    <n v="88.48"/>
    <n v="20"/>
    <n v="70.78"/>
    <n v="38.46"/>
    <x v="1"/>
  </r>
  <r>
    <s v="ORD-10582"/>
    <x v="393"/>
    <s v="Matthew Gonzalez"/>
    <x v="3"/>
    <s v="Perfume Travel"/>
    <x v="1"/>
    <n v="3"/>
    <n v="48.98"/>
    <n v="5"/>
    <n v="139.59"/>
    <n v="76.28"/>
    <x v="0"/>
  </r>
  <r>
    <s v="ORD-10583"/>
    <x v="218"/>
    <s v="David White"/>
    <x v="4"/>
    <s v="Rain Jacket"/>
    <x v="3"/>
    <n v="2"/>
    <n v="70.23"/>
    <n v="15"/>
    <n v="119.39"/>
    <n v="53.87"/>
    <x v="1"/>
  </r>
  <r>
    <s v="ORD-10584"/>
    <x v="394"/>
    <s v="Michelle Harris"/>
    <x v="1"/>
    <s v="Resistance Bands"/>
    <x v="4"/>
    <n v="2"/>
    <n v="17.25"/>
    <n v="15"/>
    <n v="29.33"/>
    <n v="6.83"/>
    <x v="0"/>
  </r>
  <r>
    <s v="ORD-10585"/>
    <x v="395"/>
    <s v="Paul Garcia"/>
    <x v="3"/>
    <s v="Portable Charger"/>
    <x v="0"/>
    <n v="2"/>
    <n v="122.48"/>
    <n v="10"/>
    <n v="220.46"/>
    <n v="21.3"/>
    <x v="0"/>
  </r>
  <r>
    <s v="ORD-10586"/>
    <x v="396"/>
    <s v="Kimberly Williams"/>
    <x v="1"/>
    <s v="Scented Candle Set"/>
    <x v="2"/>
    <n v="1"/>
    <n v="41.17"/>
    <n v="10"/>
    <n v="37.049999999999997"/>
    <n v="14.04"/>
    <x v="0"/>
  </r>
  <r>
    <s v="ORD-10587"/>
    <x v="312"/>
    <s v="Andrew Clark"/>
    <x v="4"/>
    <s v="Cutting Board"/>
    <x v="2"/>
    <n v="4"/>
    <n v="42.65"/>
    <n v="10"/>
    <n v="153.54"/>
    <n v="40.83"/>
    <x v="0"/>
  </r>
  <r>
    <s v="ORD-10588"/>
    <x v="397"/>
    <s v="Thomas Smith"/>
    <x v="4"/>
    <s v="Dumbbells 10lb"/>
    <x v="4"/>
    <n v="2"/>
    <n v="45.02"/>
    <n v="15"/>
    <n v="76.53"/>
    <n v="25.14"/>
    <x v="2"/>
  </r>
  <r>
    <s v="ORD-10589"/>
    <x v="147"/>
    <s v="Barbara Johnson"/>
    <x v="4"/>
    <s v="Hair Oil"/>
    <x v="1"/>
    <n v="2"/>
    <n v="28.5"/>
    <n v="0"/>
    <n v="57"/>
    <n v="30.09"/>
    <x v="0"/>
  </r>
  <r>
    <s v="ORD-10590"/>
    <x v="363"/>
    <s v="Susan Smith"/>
    <x v="3"/>
    <s v="Sunscreen SPF50"/>
    <x v="1"/>
    <n v="1"/>
    <n v="41.62"/>
    <n v="10"/>
    <n v="37.46"/>
    <n v="19.28"/>
    <x v="0"/>
  </r>
  <r>
    <s v="ORD-10591"/>
    <x v="398"/>
    <s v="Sandra Jackson"/>
    <x v="0"/>
    <s v="Hair Oil"/>
    <x v="1"/>
    <n v="1"/>
    <n v="25.92"/>
    <n v="10"/>
    <n v="23.33"/>
    <n v="12.7"/>
    <x v="0"/>
  </r>
  <r>
    <s v="ORD-10592"/>
    <x v="42"/>
    <s v="Robert Jones"/>
    <x v="4"/>
    <s v="Face Mask Pack"/>
    <x v="1"/>
    <n v="4"/>
    <n v="47.3"/>
    <n v="5"/>
    <n v="179.74"/>
    <n v="84.77"/>
    <x v="1"/>
  </r>
  <r>
    <s v="ORD-10593"/>
    <x v="246"/>
    <s v="Steven Wilson"/>
    <x v="0"/>
    <s v="Polo Shirt"/>
    <x v="3"/>
    <n v="4"/>
    <n v="31.81"/>
    <n v="10"/>
    <n v="114.52"/>
    <n v="53.36"/>
    <x v="2"/>
  </r>
  <r>
    <s v="ORD-10594"/>
    <x v="399"/>
    <s v="Emily Garcia"/>
    <x v="0"/>
    <s v="Athletic Socks"/>
    <x v="3"/>
    <n v="2"/>
    <n v="51.46"/>
    <n v="0"/>
    <n v="102.92"/>
    <n v="48.46"/>
    <x v="0"/>
  </r>
  <r>
    <s v="ORD-10595"/>
    <x v="278"/>
    <s v="Michael Hernandez"/>
    <x v="0"/>
    <s v="Casual Sneakers"/>
    <x v="3"/>
    <n v="3"/>
    <n v="35.11"/>
    <n v="5"/>
    <n v="100.06"/>
    <n v="50.5"/>
    <x v="0"/>
  </r>
  <r>
    <s v="ORD-10596"/>
    <x v="297"/>
    <s v="Linda Martinez"/>
    <x v="2"/>
    <s v="Body Lotion"/>
    <x v="1"/>
    <n v="2"/>
    <n v="30.19"/>
    <n v="0"/>
    <n v="60.38"/>
    <n v="34.22"/>
    <x v="2"/>
  </r>
  <r>
    <s v="ORD-10597"/>
    <x v="221"/>
    <s v="Carol White"/>
    <x v="3"/>
    <s v="Throw Blanket"/>
    <x v="2"/>
    <n v="2"/>
    <n v="56.78"/>
    <n v="10"/>
    <n v="102.2"/>
    <n v="30.37"/>
    <x v="1"/>
  </r>
  <r>
    <s v="ORD-10598"/>
    <x v="330"/>
    <s v="Kimberly Martin"/>
    <x v="0"/>
    <s v="Sunscreen SPF50"/>
    <x v="1"/>
    <n v="4"/>
    <n v="16.04"/>
    <n v="5"/>
    <n v="60.95"/>
    <n v="30.41"/>
    <x v="1"/>
  </r>
  <r>
    <s v="ORD-10599"/>
    <x v="37"/>
    <s v="Christopher Clark"/>
    <x v="2"/>
    <s v="Wireless Headphones"/>
    <x v="0"/>
    <n v="2"/>
    <n v="82.89"/>
    <n v="10"/>
    <n v="149.19999999999999"/>
    <n v="30.32"/>
    <x v="1"/>
  </r>
  <r>
    <s v="ORD-10600"/>
    <x v="400"/>
    <s v="Michelle Perez"/>
    <x v="2"/>
    <s v="Athletic Socks"/>
    <x v="3"/>
    <n v="1"/>
    <n v="41.16"/>
    <n v="0"/>
    <n v="41.16"/>
    <n v="18.760000000000002"/>
    <x v="0"/>
  </r>
  <r>
    <s v="ORD-10601"/>
    <x v="401"/>
    <s v="Joseph Jones"/>
    <x v="0"/>
    <s v="Cutting Board"/>
    <x v="2"/>
    <n v="3"/>
    <n v="26.21"/>
    <n v="20"/>
    <n v="62.9"/>
    <n v="23.07"/>
    <x v="1"/>
  </r>
  <r>
    <s v="ORD-10602"/>
    <x v="402"/>
    <s v="Richard Lewis"/>
    <x v="4"/>
    <s v="Mouse Wireless"/>
    <x v="0"/>
    <n v="1"/>
    <n v="142.59"/>
    <n v="10"/>
    <n v="128.33000000000001"/>
    <n v="23.4"/>
    <x v="0"/>
  </r>
  <r>
    <s v="ORD-10603"/>
    <x v="172"/>
    <s v="Ashley Johnson"/>
    <x v="0"/>
    <s v="Body Lotion"/>
    <x v="1"/>
    <n v="1"/>
    <n v="38.93"/>
    <n v="15"/>
    <n v="33.090000000000003"/>
    <n v="20.11"/>
    <x v="0"/>
  </r>
  <r>
    <s v="ORD-10604"/>
    <x v="342"/>
    <s v="Daniel Miller"/>
    <x v="4"/>
    <s v="Jump Rope"/>
    <x v="4"/>
    <n v="1"/>
    <n v="29.98"/>
    <n v="5"/>
    <n v="28.48"/>
    <n v="6.76"/>
    <x v="0"/>
  </r>
  <r>
    <s v="ORD-10605"/>
    <x v="208"/>
    <s v="Daniel Thompson"/>
    <x v="0"/>
    <s v="Athletic Socks"/>
    <x v="3"/>
    <n v="3"/>
    <n v="35.24"/>
    <n v="10"/>
    <n v="95.15"/>
    <n v="33.31"/>
    <x v="1"/>
  </r>
  <r>
    <s v="ORD-10606"/>
    <x v="385"/>
    <s v="Linda Martinez"/>
    <x v="3"/>
    <s v="Face Mask Pack"/>
    <x v="1"/>
    <n v="2"/>
    <n v="30.94"/>
    <n v="0"/>
    <n v="61.88"/>
    <n v="31.12"/>
    <x v="0"/>
  </r>
  <r>
    <s v="ORD-10607"/>
    <x v="282"/>
    <s v="James Brown"/>
    <x v="4"/>
    <s v="Laptop Stand"/>
    <x v="0"/>
    <n v="2"/>
    <n v="145.56"/>
    <n v="0"/>
    <n v="291.12"/>
    <n v="43.6"/>
    <x v="1"/>
  </r>
  <r>
    <s v="ORD-10608"/>
    <x v="403"/>
    <s v="Joshua Johnson"/>
    <x v="2"/>
    <s v="Cycling Gloves"/>
    <x v="4"/>
    <n v="1"/>
    <n v="21.59"/>
    <n v="0"/>
    <n v="21.59"/>
    <n v="3.76"/>
    <x v="0"/>
  </r>
  <r>
    <s v="ORD-10609"/>
    <x v="172"/>
    <s v="Linda Lewis"/>
    <x v="2"/>
    <s v="Coffee Maker"/>
    <x v="2"/>
    <n v="2"/>
    <n v="21.08"/>
    <n v="5"/>
    <n v="40.049999999999997"/>
    <n v="8.07"/>
    <x v="0"/>
  </r>
  <r>
    <s v="ORD-10610"/>
    <x v="404"/>
    <s v="Donna Moore"/>
    <x v="0"/>
    <s v="Casual Sneakers"/>
    <x v="3"/>
    <n v="4"/>
    <n v="56.04"/>
    <n v="10"/>
    <n v="201.74"/>
    <n v="73.98"/>
    <x v="1"/>
  </r>
  <r>
    <s v="ORD-10611"/>
    <x v="102"/>
    <s v="James Garcia"/>
    <x v="2"/>
    <s v="Door Mat"/>
    <x v="2"/>
    <n v="1"/>
    <n v="15.51"/>
    <n v="20"/>
    <n v="12.41"/>
    <n v="4.79"/>
    <x v="2"/>
  </r>
  <r>
    <s v="ORD-10612"/>
    <x v="63"/>
    <s v="Joseph Brown"/>
    <x v="0"/>
    <s v="Storage Bins"/>
    <x v="2"/>
    <n v="2"/>
    <n v="65.34"/>
    <n v="15"/>
    <n v="111.08"/>
    <n v="42.24"/>
    <x v="1"/>
  </r>
  <r>
    <s v="ORD-10613"/>
    <x v="75"/>
    <s v="Kimberly Martin"/>
    <x v="3"/>
    <s v="Wool Sweater"/>
    <x v="3"/>
    <n v="4"/>
    <n v="34.840000000000003"/>
    <n v="0"/>
    <n v="139.36000000000001"/>
    <n v="51.74"/>
    <x v="1"/>
  </r>
  <r>
    <s v="ORD-10614"/>
    <x v="43"/>
    <s v="Jennifer Jones"/>
    <x v="4"/>
    <s v="Lip Balm Set"/>
    <x v="1"/>
    <n v="3"/>
    <n v="20.82"/>
    <n v="10"/>
    <n v="56.21"/>
    <n v="28.92"/>
    <x v="0"/>
  </r>
  <r>
    <s v="ORD-10615"/>
    <x v="405"/>
    <s v="Thomas Moore"/>
    <x v="4"/>
    <s v="Cutting Board"/>
    <x v="2"/>
    <n v="1"/>
    <n v="58.31"/>
    <n v="10"/>
    <n v="52.48"/>
    <n v="17.489999999999998"/>
    <x v="0"/>
  </r>
  <r>
    <s v="ORD-10616"/>
    <x v="406"/>
    <s v="Nancy Lopez"/>
    <x v="0"/>
    <s v="Knife Set"/>
    <x v="2"/>
    <n v="2"/>
    <n v="28.15"/>
    <n v="10"/>
    <n v="50.67"/>
    <n v="11.77"/>
    <x v="0"/>
  </r>
  <r>
    <s v="ORD-10617"/>
    <x v="407"/>
    <s v="Kevin Clark"/>
    <x v="3"/>
    <s v="Cotton T-Shirt"/>
    <x v="3"/>
    <n v="1"/>
    <n v="72.900000000000006"/>
    <n v="0"/>
    <n v="72.900000000000006"/>
    <n v="23.53"/>
    <x v="1"/>
  </r>
  <r>
    <s v="ORD-10618"/>
    <x v="262"/>
    <s v="Betty Jones"/>
    <x v="1"/>
    <s v="Swim Goggles"/>
    <x v="4"/>
    <n v="1"/>
    <n v="11.71"/>
    <n v="5"/>
    <n v="11.12"/>
    <n v="3.1"/>
    <x v="2"/>
  </r>
  <r>
    <s v="ORD-10619"/>
    <x v="408"/>
    <s v="Sarah Davis"/>
    <x v="2"/>
    <s v="Mouse Wireless"/>
    <x v="0"/>
    <n v="3"/>
    <n v="53.52"/>
    <n v="25"/>
    <n v="120.42"/>
    <n v="13.3"/>
    <x v="0"/>
  </r>
  <r>
    <s v="ORD-10620"/>
    <x v="334"/>
    <s v="Michelle Garcia"/>
    <x v="2"/>
    <s v="Keyboard Mechanical"/>
    <x v="0"/>
    <n v="1"/>
    <n v="147.05000000000001"/>
    <n v="5"/>
    <n v="139.69999999999999"/>
    <n v="32.770000000000003"/>
    <x v="0"/>
  </r>
  <r>
    <s v="ORD-10621"/>
    <x v="409"/>
    <s v="Carol Smith"/>
    <x v="1"/>
    <s v="Portable Charger"/>
    <x v="0"/>
    <n v="1"/>
    <n v="28.5"/>
    <n v="5"/>
    <n v="27.08"/>
    <n v="2.76"/>
    <x v="0"/>
  </r>
  <r>
    <s v="ORD-10622"/>
    <x v="410"/>
    <s v="Elizabeth Gonzalez"/>
    <x v="2"/>
    <s v="Nail Polish Set"/>
    <x v="1"/>
    <n v="1"/>
    <n v="40.68"/>
    <n v="0"/>
    <n v="40.68"/>
    <n v="17.54"/>
    <x v="0"/>
  </r>
  <r>
    <s v="ORD-10623"/>
    <x v="316"/>
    <s v="Emily Martin"/>
    <x v="4"/>
    <s v="Face Mask Pack"/>
    <x v="1"/>
    <n v="1"/>
    <n v="34.71"/>
    <n v="10"/>
    <n v="31.24"/>
    <n v="18.22"/>
    <x v="1"/>
  </r>
  <r>
    <s v="ORD-10624"/>
    <x v="411"/>
    <s v="Emily Perez"/>
    <x v="2"/>
    <s v="Resistance Bands"/>
    <x v="4"/>
    <n v="2"/>
    <n v="28.81"/>
    <n v="5"/>
    <n v="54.74"/>
    <n v="15.6"/>
    <x v="1"/>
  </r>
  <r>
    <s v="ORD-10625"/>
    <x v="412"/>
    <s v="Anthony Johnson"/>
    <x v="1"/>
    <s v="Perfume Travel"/>
    <x v="1"/>
    <n v="1"/>
    <n v="8.17"/>
    <n v="0"/>
    <n v="8.17"/>
    <n v="4.57"/>
    <x v="0"/>
  </r>
  <r>
    <s v="ORD-10626"/>
    <x v="367"/>
    <s v="Donna Hernandez"/>
    <x v="3"/>
    <s v="Face Moisturizer"/>
    <x v="1"/>
    <n v="1"/>
    <n v="24.05"/>
    <n v="20"/>
    <n v="19.239999999999998"/>
    <n v="8.02"/>
    <x v="1"/>
  </r>
  <r>
    <s v="ORD-10627"/>
    <x v="289"/>
    <s v="Barbara Harris"/>
    <x v="3"/>
    <s v="Resistance Bands"/>
    <x v="4"/>
    <n v="1"/>
    <n v="49.45"/>
    <n v="10"/>
    <n v="44.51"/>
    <n v="7.81"/>
    <x v="0"/>
  </r>
  <r>
    <s v="ORD-10628"/>
    <x v="413"/>
    <s v="Kimberly Lopez"/>
    <x v="2"/>
    <s v="Running Shoes"/>
    <x v="3"/>
    <n v="1"/>
    <n v="29.71"/>
    <n v="0"/>
    <n v="29.71"/>
    <n v="16.149999999999999"/>
    <x v="0"/>
  </r>
  <r>
    <s v="ORD-10629"/>
    <x v="119"/>
    <s v="Sarah Perez"/>
    <x v="3"/>
    <s v="Rain Jacket"/>
    <x v="3"/>
    <n v="3"/>
    <n v="61.98"/>
    <n v="20"/>
    <n v="148.75"/>
    <n v="79.930000000000007"/>
    <x v="1"/>
  </r>
  <r>
    <s v="ORD-10630"/>
    <x v="359"/>
    <s v="Joseph Anderson"/>
    <x v="3"/>
    <s v="Shampoo Organic"/>
    <x v="1"/>
    <n v="5"/>
    <n v="35.24"/>
    <n v="10"/>
    <n v="158.58000000000001"/>
    <n v="78.78"/>
    <x v="1"/>
  </r>
  <r>
    <s v="ORD-10631"/>
    <x v="22"/>
    <s v="David Thomas"/>
    <x v="0"/>
    <s v="Dumbbells 10lb"/>
    <x v="4"/>
    <n v="3"/>
    <n v="15.44"/>
    <n v="0"/>
    <n v="46.32"/>
    <n v="10.6"/>
    <x v="0"/>
  </r>
  <r>
    <s v="ORD-10632"/>
    <x v="351"/>
    <s v="James Johnson"/>
    <x v="2"/>
    <s v="Swim Goggles"/>
    <x v="4"/>
    <n v="4"/>
    <n v="43.56"/>
    <n v="0"/>
    <n v="174.24"/>
    <n v="38.28"/>
    <x v="0"/>
  </r>
  <r>
    <s v="ORD-10633"/>
    <x v="414"/>
    <s v="Susan Taylor"/>
    <x v="3"/>
    <s v="Shampoo Organic"/>
    <x v="1"/>
    <n v="2"/>
    <n v="29.3"/>
    <n v="20"/>
    <n v="46.88"/>
    <n v="29.05"/>
    <x v="0"/>
  </r>
  <r>
    <s v="ORD-10634"/>
    <x v="47"/>
    <s v="Michael Williams"/>
    <x v="4"/>
    <s v="Foam Roller"/>
    <x v="4"/>
    <n v="1"/>
    <n v="18.27"/>
    <n v="0"/>
    <n v="18.27"/>
    <n v="6.13"/>
    <x v="1"/>
  </r>
  <r>
    <s v="ORD-10635"/>
    <x v="415"/>
    <s v="Robert Brown"/>
    <x v="4"/>
    <s v="Face Moisturizer"/>
    <x v="1"/>
    <n v="2"/>
    <n v="46.08"/>
    <n v="0"/>
    <n v="92.16"/>
    <n v="38.49"/>
    <x v="0"/>
  </r>
  <r>
    <s v="ORD-10636"/>
    <x v="416"/>
    <s v="Paul Jackson"/>
    <x v="3"/>
    <s v="Jump Rope"/>
    <x v="4"/>
    <n v="2"/>
    <n v="23.88"/>
    <n v="0"/>
    <n v="47.76"/>
    <n v="10.24"/>
    <x v="0"/>
  </r>
  <r>
    <s v="ORD-10637"/>
    <x v="360"/>
    <s v="Ashley Martinez"/>
    <x v="3"/>
    <s v="Hair Oil"/>
    <x v="1"/>
    <n v="3"/>
    <n v="40.78"/>
    <n v="0"/>
    <n v="122.34"/>
    <n v="69.010000000000005"/>
    <x v="0"/>
  </r>
  <r>
    <s v="ORD-10638"/>
    <x v="410"/>
    <s v="Emily Brown"/>
    <x v="0"/>
    <s v="Nail Polish Set"/>
    <x v="1"/>
    <n v="5"/>
    <n v="20.95"/>
    <n v="15"/>
    <n v="89.04"/>
    <n v="51.42"/>
    <x v="0"/>
  </r>
  <r>
    <s v="ORD-10639"/>
    <x v="417"/>
    <s v="Susan Johnson"/>
    <x v="2"/>
    <s v="Blender"/>
    <x v="2"/>
    <n v="3"/>
    <n v="65.89"/>
    <n v="15"/>
    <n v="168.02"/>
    <n v="50.16"/>
    <x v="0"/>
  </r>
  <r>
    <s v="ORD-10640"/>
    <x v="208"/>
    <s v="Dorothy Lewis"/>
    <x v="0"/>
    <s v="Athletic Socks"/>
    <x v="3"/>
    <n v="1"/>
    <n v="20.92"/>
    <n v="5"/>
    <n v="19.87"/>
    <n v="10.67"/>
    <x v="0"/>
  </r>
  <r>
    <s v="ORD-10641"/>
    <x v="107"/>
    <s v="Joshua Perez"/>
    <x v="2"/>
    <s v="Pillow Set"/>
    <x v="2"/>
    <n v="2"/>
    <n v="51.34"/>
    <n v="10"/>
    <n v="92.41"/>
    <n v="36.51"/>
    <x v="0"/>
  </r>
  <r>
    <s v="ORD-10642"/>
    <x v="321"/>
    <s v="Elizabeth Martin"/>
    <x v="3"/>
    <s v="Mouse Wireless"/>
    <x v="0"/>
    <n v="1"/>
    <n v="102.96"/>
    <n v="10"/>
    <n v="92.66"/>
    <n v="21.12"/>
    <x v="1"/>
  </r>
  <r>
    <s v="ORD-10643"/>
    <x v="373"/>
    <s v="Joshua Johnson"/>
    <x v="2"/>
    <s v="Blender"/>
    <x v="2"/>
    <n v="1"/>
    <n v="34.04"/>
    <n v="0"/>
    <n v="34.04"/>
    <n v="7.49"/>
    <x v="0"/>
  </r>
  <r>
    <s v="ORD-10644"/>
    <x v="28"/>
    <s v="Robert Thompson"/>
    <x v="2"/>
    <s v="Laptop Stand"/>
    <x v="0"/>
    <n v="1"/>
    <n v="119.01"/>
    <n v="15"/>
    <n v="101.16"/>
    <n v="12.83"/>
    <x v="1"/>
  </r>
  <r>
    <s v="ORD-10645"/>
    <x v="350"/>
    <s v="Paul Rodriguez"/>
    <x v="1"/>
    <s v="Denim Jacket"/>
    <x v="3"/>
    <n v="2"/>
    <n v="44.81"/>
    <n v="5"/>
    <n v="85.14"/>
    <n v="37.76"/>
    <x v="1"/>
  </r>
  <r>
    <s v="ORD-10646"/>
    <x v="379"/>
    <s v="Anthony Taylor"/>
    <x v="3"/>
    <s v="Portable Charger"/>
    <x v="0"/>
    <n v="2"/>
    <n v="21.71"/>
    <n v="20"/>
    <n v="34.74"/>
    <n v="5.91"/>
    <x v="0"/>
  </r>
  <r>
    <s v="ORD-10647"/>
    <x v="138"/>
    <s v="Andrew Wilson"/>
    <x v="4"/>
    <s v="Webcam HD"/>
    <x v="0"/>
    <n v="1"/>
    <n v="37.9"/>
    <n v="0"/>
    <n v="37.9"/>
    <n v="5.28"/>
    <x v="1"/>
  </r>
  <r>
    <s v="ORD-10648"/>
    <x v="151"/>
    <s v="Jennifer Harris"/>
    <x v="2"/>
    <s v="Resistance Bands"/>
    <x v="4"/>
    <n v="2"/>
    <n v="45.04"/>
    <n v="0"/>
    <n v="90.08"/>
    <n v="14.81"/>
    <x v="0"/>
  </r>
  <r>
    <s v="ORD-10649"/>
    <x v="418"/>
    <s v="Dorothy Ramirez"/>
    <x v="4"/>
    <s v="Coffee Maker"/>
    <x v="2"/>
    <n v="1"/>
    <n v="69.88"/>
    <n v="5"/>
    <n v="66.39"/>
    <n v="24.13"/>
    <x v="1"/>
  </r>
  <r>
    <s v="ORD-10650"/>
    <x v="419"/>
    <s v="Christopher Clark"/>
    <x v="2"/>
    <s v="Wool Sweater"/>
    <x v="3"/>
    <n v="2"/>
    <n v="73.61"/>
    <n v="10"/>
    <n v="132.5"/>
    <n v="66.41"/>
    <x v="2"/>
  </r>
  <r>
    <s v="ORD-10651"/>
    <x v="420"/>
    <s v="Dorothy Thompson"/>
    <x v="2"/>
    <s v="Door Mat"/>
    <x v="2"/>
    <n v="4"/>
    <n v="14.57"/>
    <n v="10"/>
    <n v="52.45"/>
    <n v="10.95"/>
    <x v="0"/>
  </r>
  <r>
    <s v="ORD-10652"/>
    <x v="355"/>
    <s v="Sandra Harris"/>
    <x v="4"/>
    <s v="Laptop Stand"/>
    <x v="0"/>
    <n v="1"/>
    <n v="45.48"/>
    <n v="15"/>
    <n v="38.659999999999997"/>
    <n v="8.41"/>
    <x v="0"/>
  </r>
  <r>
    <s v="ORD-10653"/>
    <x v="331"/>
    <s v="Dorothy Jackson"/>
    <x v="3"/>
    <s v="Foam Roller"/>
    <x v="4"/>
    <n v="1"/>
    <n v="15.81"/>
    <n v="0"/>
    <n v="15.81"/>
    <n v="2.79"/>
    <x v="0"/>
  </r>
  <r>
    <s v="ORD-10654"/>
    <x v="202"/>
    <s v="Robert Thompson"/>
    <x v="4"/>
    <s v="Foam Roller"/>
    <x v="4"/>
    <n v="1"/>
    <n v="35.08"/>
    <n v="0"/>
    <n v="35.08"/>
    <n v="9.5399999999999991"/>
    <x v="1"/>
  </r>
  <r>
    <s v="ORD-10655"/>
    <x v="349"/>
    <s v="Joshua Davis"/>
    <x v="2"/>
    <s v="Blender"/>
    <x v="2"/>
    <n v="2"/>
    <n v="62.76"/>
    <n v="0"/>
    <n v="125.52"/>
    <n v="31.4"/>
    <x v="0"/>
  </r>
  <r>
    <s v="ORD-10656"/>
    <x v="131"/>
    <s v="Matthew Harris"/>
    <x v="1"/>
    <s v="Nail Polish Set"/>
    <x v="1"/>
    <n v="1"/>
    <n v="19.46"/>
    <n v="0"/>
    <n v="19.46"/>
    <n v="10.3"/>
    <x v="0"/>
  </r>
  <r>
    <s v="ORD-10657"/>
    <x v="421"/>
    <s v="Paul Lee"/>
    <x v="3"/>
    <s v="Athletic Socks"/>
    <x v="3"/>
    <n v="2"/>
    <n v="53.16"/>
    <n v="10"/>
    <n v="95.69"/>
    <n v="52.38"/>
    <x v="1"/>
  </r>
  <r>
    <s v="ORD-10658"/>
    <x v="422"/>
    <s v="Karen Clark"/>
    <x v="4"/>
    <s v="Jump Rope"/>
    <x v="4"/>
    <n v="1"/>
    <n v="46.7"/>
    <n v="15"/>
    <n v="39.700000000000003"/>
    <n v="13.26"/>
    <x v="1"/>
  </r>
  <r>
    <s v="ORD-10659"/>
    <x v="314"/>
    <s v="Daniel Sanchez"/>
    <x v="2"/>
    <s v="Resistance Bands"/>
    <x v="4"/>
    <n v="5"/>
    <n v="17.16"/>
    <n v="0"/>
    <n v="85.8"/>
    <n v="22.89"/>
    <x v="0"/>
  </r>
  <r>
    <s v="ORD-10660"/>
    <x v="10"/>
    <s v="Susan Jones"/>
    <x v="3"/>
    <s v="Throw Blanket"/>
    <x v="2"/>
    <n v="4"/>
    <n v="73.63"/>
    <n v="20"/>
    <n v="235.62"/>
    <n v="87.48"/>
    <x v="0"/>
  </r>
  <r>
    <s v="ORD-10661"/>
    <x v="147"/>
    <s v="Dorothy Martinez"/>
    <x v="4"/>
    <s v="Swim Goggles"/>
    <x v="4"/>
    <n v="4"/>
    <n v="53.57"/>
    <n v="15"/>
    <n v="182.14"/>
    <n v="42.35"/>
    <x v="1"/>
  </r>
  <r>
    <s v="ORD-10662"/>
    <x v="236"/>
    <s v="William Thompson"/>
    <x v="1"/>
    <s v="Perfume Travel"/>
    <x v="1"/>
    <n v="2"/>
    <n v="31.83"/>
    <n v="0"/>
    <n v="63.66"/>
    <n v="37.229999999999997"/>
    <x v="0"/>
  </r>
  <r>
    <s v="ORD-10663"/>
    <x v="42"/>
    <s v="David Harris"/>
    <x v="3"/>
    <s v="Athletic Socks"/>
    <x v="3"/>
    <n v="2"/>
    <n v="83.04"/>
    <n v="20"/>
    <n v="132.86000000000001"/>
    <n v="64.19"/>
    <x v="1"/>
  </r>
  <r>
    <s v="ORD-10664"/>
    <x v="423"/>
    <s v="Linda Robinson"/>
    <x v="2"/>
    <s v="Keyboard Mechanical"/>
    <x v="0"/>
    <n v="1"/>
    <n v="35.56"/>
    <n v="5"/>
    <n v="33.78"/>
    <n v="7.32"/>
    <x v="0"/>
  </r>
  <r>
    <s v="ORD-10665"/>
    <x v="126"/>
    <s v="Joseph Clark"/>
    <x v="2"/>
    <s v="Eye Cream"/>
    <x v="1"/>
    <n v="1"/>
    <n v="42.6"/>
    <n v="10"/>
    <n v="38.340000000000003"/>
    <n v="20.58"/>
    <x v="0"/>
  </r>
  <r>
    <s v="ORD-10666"/>
    <x v="424"/>
    <s v="Christopher Martin"/>
    <x v="2"/>
    <s v="Perfume Travel"/>
    <x v="1"/>
    <n v="2"/>
    <n v="30.21"/>
    <n v="0"/>
    <n v="60.42"/>
    <n v="30.09"/>
    <x v="0"/>
  </r>
  <r>
    <s v="ORD-10667"/>
    <x v="336"/>
    <s v="Sandra Anderson"/>
    <x v="1"/>
    <s v="Running Shoes"/>
    <x v="3"/>
    <n v="1"/>
    <n v="16.87"/>
    <n v="5"/>
    <n v="16.03"/>
    <n v="7.73"/>
    <x v="1"/>
  </r>
  <r>
    <s v="ORD-10668"/>
    <x v="46"/>
    <s v="Ashley Wilson"/>
    <x v="3"/>
    <s v="Body Lotion"/>
    <x v="1"/>
    <n v="2"/>
    <n v="45.81"/>
    <n v="15"/>
    <n v="77.88"/>
    <n v="40.69"/>
    <x v="0"/>
  </r>
  <r>
    <s v="ORD-10669"/>
    <x v="173"/>
    <s v="Lisa Lopez"/>
    <x v="1"/>
    <s v="Body Lotion"/>
    <x v="1"/>
    <n v="2"/>
    <n v="47.33"/>
    <n v="15"/>
    <n v="80.459999999999994"/>
    <n v="32.799999999999997"/>
    <x v="2"/>
  </r>
  <r>
    <s v="ORD-10670"/>
    <x v="98"/>
    <s v="Richard Martin"/>
    <x v="1"/>
    <s v="Face Mask Pack"/>
    <x v="1"/>
    <n v="3"/>
    <n v="15.92"/>
    <n v="5"/>
    <n v="45.37"/>
    <n v="28.5"/>
    <x v="1"/>
  </r>
  <r>
    <s v="ORD-10671"/>
    <x v="360"/>
    <s v="Michelle Thompson"/>
    <x v="0"/>
    <s v="Running Shoes"/>
    <x v="3"/>
    <n v="2"/>
    <n v="44.37"/>
    <n v="25"/>
    <n v="66.55"/>
    <n v="20.28"/>
    <x v="0"/>
  </r>
  <r>
    <s v="ORD-10672"/>
    <x v="287"/>
    <s v="Barbara Hernandez"/>
    <x v="0"/>
    <s v="Foam Roller"/>
    <x v="4"/>
    <n v="2"/>
    <n v="11.42"/>
    <n v="0"/>
    <n v="22.84"/>
    <n v="6.78"/>
    <x v="1"/>
  </r>
  <r>
    <s v="ORD-10673"/>
    <x v="39"/>
    <s v="Lisa Ramirez"/>
    <x v="2"/>
    <s v="Cargo Shorts"/>
    <x v="3"/>
    <n v="2"/>
    <n v="19.690000000000001"/>
    <n v="5"/>
    <n v="37.409999999999997"/>
    <n v="19.399999999999999"/>
    <x v="0"/>
  </r>
  <r>
    <s v="ORD-10674"/>
    <x v="425"/>
    <s v="Donna Miller"/>
    <x v="0"/>
    <s v="Scented Candle Set"/>
    <x v="2"/>
    <n v="4"/>
    <n v="10.199999999999999"/>
    <n v="20"/>
    <n v="32.64"/>
    <n v="9.98"/>
    <x v="0"/>
  </r>
  <r>
    <s v="ORD-10675"/>
    <x v="227"/>
    <s v="Dorothy Garcia"/>
    <x v="2"/>
    <s v="Pillow Set"/>
    <x v="2"/>
    <n v="2"/>
    <n v="34.14"/>
    <n v="10"/>
    <n v="61.45"/>
    <n v="18.149999999999999"/>
    <x v="0"/>
  </r>
  <r>
    <s v="ORD-10676"/>
    <x v="426"/>
    <s v="Donna Garcia"/>
    <x v="2"/>
    <s v="Shampoo Organic"/>
    <x v="1"/>
    <n v="1"/>
    <n v="12.42"/>
    <n v="0"/>
    <n v="12.42"/>
    <n v="6.04"/>
    <x v="0"/>
  </r>
  <r>
    <s v="ORD-10677"/>
    <x v="427"/>
    <s v="David Brown"/>
    <x v="1"/>
    <s v="Running Shoes"/>
    <x v="3"/>
    <n v="1"/>
    <n v="63.15"/>
    <n v="25"/>
    <n v="47.36"/>
    <n v="25.01"/>
    <x v="1"/>
  </r>
  <r>
    <s v="ORD-10678"/>
    <x v="428"/>
    <s v="Elizabeth Martin"/>
    <x v="2"/>
    <s v="Wool Sweater"/>
    <x v="3"/>
    <n v="1"/>
    <n v="88.51"/>
    <n v="5"/>
    <n v="84.08"/>
    <n v="37.93"/>
    <x v="2"/>
  </r>
  <r>
    <s v="ORD-10679"/>
    <x v="407"/>
    <s v="Sarah Johnson"/>
    <x v="0"/>
    <s v="Wireless Headphones"/>
    <x v="0"/>
    <n v="1"/>
    <n v="24.59"/>
    <n v="0"/>
    <n v="24.59"/>
    <n v="4.07"/>
    <x v="2"/>
  </r>
  <r>
    <s v="ORD-10680"/>
    <x v="429"/>
    <s v="Dorothy Martin"/>
    <x v="1"/>
    <s v="Body Lotion"/>
    <x v="1"/>
    <n v="1"/>
    <n v="47.72"/>
    <n v="15"/>
    <n v="40.56"/>
    <n v="18.260000000000002"/>
    <x v="0"/>
  </r>
  <r>
    <s v="ORD-10681"/>
    <x v="303"/>
    <s v="Mary Davis"/>
    <x v="4"/>
    <s v="Pillow Set"/>
    <x v="2"/>
    <n v="2"/>
    <n v="76.75"/>
    <n v="0"/>
    <n v="153.5"/>
    <n v="55.74"/>
    <x v="1"/>
  </r>
  <r>
    <s v="ORD-10682"/>
    <x v="430"/>
    <s v="Lisa Miller"/>
    <x v="4"/>
    <s v="Wool Sweater"/>
    <x v="3"/>
    <n v="1"/>
    <n v="86.73"/>
    <n v="15"/>
    <n v="73.72"/>
    <n v="27.68"/>
    <x v="1"/>
  </r>
  <r>
    <s v="ORD-10683"/>
    <x v="105"/>
    <s v="Mark Lewis"/>
    <x v="0"/>
    <s v="Body Lotion"/>
    <x v="1"/>
    <n v="2"/>
    <n v="45.06"/>
    <n v="0"/>
    <n v="90.12"/>
    <n v="49.5"/>
    <x v="0"/>
  </r>
  <r>
    <s v="ORD-10684"/>
    <x v="431"/>
    <s v="Lisa Anderson"/>
    <x v="0"/>
    <s v="Mouse Wireless"/>
    <x v="0"/>
    <n v="1"/>
    <n v="70.52"/>
    <n v="20"/>
    <n v="56.42"/>
    <n v="11.21"/>
    <x v="1"/>
  </r>
  <r>
    <s v="ORD-10685"/>
    <x v="432"/>
    <s v="Kimberly Clark"/>
    <x v="3"/>
    <s v="Lip Balm Set"/>
    <x v="1"/>
    <n v="1"/>
    <n v="19.16"/>
    <n v="10"/>
    <n v="17.239999999999998"/>
    <n v="11.2"/>
    <x v="0"/>
  </r>
  <r>
    <s v="ORD-10686"/>
    <x v="204"/>
    <s v="Linda Clark"/>
    <x v="1"/>
    <s v="Webcam HD"/>
    <x v="0"/>
    <n v="2"/>
    <n v="27.17"/>
    <n v="5"/>
    <n v="51.62"/>
    <n v="7.61"/>
    <x v="0"/>
  </r>
  <r>
    <s v="ORD-10687"/>
    <x v="433"/>
    <s v="Andrew Perez"/>
    <x v="2"/>
    <s v="Nail Polish Set"/>
    <x v="1"/>
    <n v="1"/>
    <n v="35.4"/>
    <n v="0"/>
    <n v="35.4"/>
    <n v="15.17"/>
    <x v="0"/>
  </r>
  <r>
    <s v="ORD-10688"/>
    <x v="434"/>
    <s v="Joseph Lewis"/>
    <x v="0"/>
    <s v="Foam Roller"/>
    <x v="4"/>
    <n v="1"/>
    <n v="16.11"/>
    <n v="10"/>
    <n v="14.5"/>
    <n v="2.77"/>
    <x v="1"/>
  </r>
  <r>
    <s v="ORD-10689"/>
    <x v="435"/>
    <s v="Paul Hernandez"/>
    <x v="2"/>
    <s v="Cargo Shorts"/>
    <x v="3"/>
    <n v="1"/>
    <n v="55.15"/>
    <n v="20"/>
    <n v="44.12"/>
    <n v="16.079999999999998"/>
    <x v="0"/>
  </r>
  <r>
    <s v="ORD-10690"/>
    <x v="4"/>
    <s v="Michael Miller"/>
    <x v="0"/>
    <s v="Lip Balm Set"/>
    <x v="1"/>
    <n v="3"/>
    <n v="44.5"/>
    <n v="20"/>
    <n v="106.8"/>
    <n v="68.3"/>
    <x v="2"/>
  </r>
  <r>
    <s v="ORD-10691"/>
    <x v="436"/>
    <s v="Richard Jones"/>
    <x v="1"/>
    <s v="USB-C Hub"/>
    <x v="0"/>
    <n v="2"/>
    <n v="134.03"/>
    <n v="15"/>
    <n v="227.85"/>
    <n v="23.21"/>
    <x v="0"/>
  </r>
  <r>
    <s v="ORD-10692"/>
    <x v="89"/>
    <s v="Anthony Moore"/>
    <x v="0"/>
    <s v="Dumbbells 10lb"/>
    <x v="4"/>
    <n v="1"/>
    <n v="50.87"/>
    <n v="10"/>
    <n v="45.78"/>
    <n v="10.39"/>
    <x v="0"/>
  </r>
  <r>
    <s v="ORD-10693"/>
    <x v="437"/>
    <s v="Betty Taylor"/>
    <x v="3"/>
    <s v="Eye Cream"/>
    <x v="1"/>
    <n v="4"/>
    <n v="15.95"/>
    <n v="25"/>
    <n v="47.85"/>
    <n v="27.28"/>
    <x v="1"/>
  </r>
  <r>
    <s v="ORD-10694"/>
    <x v="438"/>
    <s v="Joseph White"/>
    <x v="1"/>
    <s v="Sunscreen SPF50"/>
    <x v="1"/>
    <n v="3"/>
    <n v="31.47"/>
    <n v="20"/>
    <n v="75.53"/>
    <n v="35.4"/>
    <x v="0"/>
  </r>
  <r>
    <s v="ORD-10695"/>
    <x v="59"/>
    <s v="Joshua White"/>
    <x v="2"/>
    <s v="Jump Rope"/>
    <x v="4"/>
    <n v="2"/>
    <n v="58.65"/>
    <n v="20"/>
    <n v="93.84"/>
    <n v="24.61"/>
    <x v="0"/>
  </r>
  <r>
    <s v="ORD-10696"/>
    <x v="439"/>
    <s v="Kenneth Thompson"/>
    <x v="2"/>
    <s v="Running Shoes"/>
    <x v="3"/>
    <n v="2"/>
    <n v="60"/>
    <n v="0"/>
    <n v="120"/>
    <n v="63.11"/>
    <x v="2"/>
  </r>
  <r>
    <s v="ORD-10697"/>
    <x v="440"/>
    <s v="Andrew Lewis"/>
    <x v="0"/>
    <s v="Water Bottle"/>
    <x v="4"/>
    <n v="2"/>
    <n v="49.98"/>
    <n v="10"/>
    <n v="89.96"/>
    <n v="19.36"/>
    <x v="1"/>
  </r>
  <r>
    <s v="ORD-10698"/>
    <x v="110"/>
    <s v="Andrew Wilson"/>
    <x v="1"/>
    <s v="Lip Balm Set"/>
    <x v="1"/>
    <n v="1"/>
    <n v="9.5"/>
    <n v="0"/>
    <n v="9.5"/>
    <n v="4.01"/>
    <x v="0"/>
  </r>
  <r>
    <s v="ORD-10699"/>
    <x v="113"/>
    <s v="Robert Lewis"/>
    <x v="4"/>
    <s v="Resistance Bands"/>
    <x v="4"/>
    <n v="1"/>
    <n v="42.93"/>
    <n v="15"/>
    <n v="36.49"/>
    <n v="6.95"/>
    <x v="1"/>
  </r>
  <r>
    <s v="ORD-10700"/>
    <x v="441"/>
    <s v="James Sanchez"/>
    <x v="1"/>
    <s v="Polo Shirt"/>
    <x v="3"/>
    <n v="1"/>
    <n v="72.98"/>
    <n v="10"/>
    <n v="65.680000000000007"/>
    <n v="27.75"/>
    <x v="0"/>
  </r>
  <r>
    <s v="ORD-10701"/>
    <x v="428"/>
    <s v="Steven Thompson"/>
    <x v="0"/>
    <s v="Scented Candle Set"/>
    <x v="2"/>
    <n v="2"/>
    <n v="63.32"/>
    <n v="5"/>
    <n v="120.31"/>
    <n v="31.81"/>
    <x v="1"/>
  </r>
  <r>
    <s v="ORD-10702"/>
    <x v="78"/>
    <s v="Kenneth Harris"/>
    <x v="4"/>
    <s v="Body Lotion"/>
    <x v="1"/>
    <n v="2"/>
    <n v="37.29"/>
    <n v="5"/>
    <n v="70.849999999999994"/>
    <n v="37.61"/>
    <x v="0"/>
  </r>
  <r>
    <s v="ORD-10703"/>
    <x v="442"/>
    <s v="Andrew Smith"/>
    <x v="1"/>
    <s v="Blender"/>
    <x v="2"/>
    <n v="1"/>
    <n v="67.72"/>
    <n v="5"/>
    <n v="64.33"/>
    <n v="22.32"/>
    <x v="0"/>
  </r>
  <r>
    <s v="ORD-10704"/>
    <x v="170"/>
    <s v="Kimberly Jackson"/>
    <x v="2"/>
    <s v="Rain Jacket"/>
    <x v="3"/>
    <n v="2"/>
    <n v="65.89"/>
    <n v="25"/>
    <n v="98.84"/>
    <n v="50.13"/>
    <x v="0"/>
  </r>
  <r>
    <s v="ORD-10705"/>
    <x v="443"/>
    <s v="Donna Hernandez"/>
    <x v="2"/>
    <s v="Tablet Case"/>
    <x v="0"/>
    <n v="1"/>
    <n v="116.23"/>
    <n v="0"/>
    <n v="116.23"/>
    <n v="25.84"/>
    <x v="2"/>
  </r>
  <r>
    <s v="ORD-10706"/>
    <x v="48"/>
    <s v="Nancy White"/>
    <x v="0"/>
    <s v="Mouse Wireless"/>
    <x v="0"/>
    <n v="4"/>
    <n v="76.290000000000006"/>
    <n v="0"/>
    <n v="305.16000000000003"/>
    <n v="32.03"/>
    <x v="1"/>
  </r>
  <r>
    <s v="ORD-10707"/>
    <x v="444"/>
    <s v="Kevin Rodriguez"/>
    <x v="1"/>
    <s v="Rain Jacket"/>
    <x v="3"/>
    <n v="5"/>
    <n v="47.36"/>
    <n v="10"/>
    <n v="213.12"/>
    <n v="116.36"/>
    <x v="0"/>
  </r>
  <r>
    <s v="ORD-10708"/>
    <x v="445"/>
    <s v="Paul Taylor"/>
    <x v="1"/>
    <s v="Athletic Socks"/>
    <x v="3"/>
    <n v="1"/>
    <n v="58.99"/>
    <n v="15"/>
    <n v="50.14"/>
    <n v="18.760000000000002"/>
    <x v="1"/>
  </r>
  <r>
    <s v="ORD-10709"/>
    <x v="100"/>
    <s v="Michael Harris"/>
    <x v="1"/>
    <s v="Swim Goggles"/>
    <x v="4"/>
    <n v="2"/>
    <n v="54.6"/>
    <n v="10"/>
    <n v="98.28"/>
    <n v="33.090000000000003"/>
    <x v="2"/>
  </r>
  <r>
    <s v="ORD-10710"/>
    <x v="1"/>
    <s v="Joshua Lee"/>
    <x v="0"/>
    <s v="Water Bottle"/>
    <x v="4"/>
    <n v="3"/>
    <n v="45.4"/>
    <n v="0"/>
    <n v="136.19999999999999"/>
    <n v="21.73"/>
    <x v="1"/>
  </r>
  <r>
    <s v="ORD-10711"/>
    <x v="446"/>
    <s v="Sandra Hernandez"/>
    <x v="3"/>
    <s v="Tablet Case"/>
    <x v="0"/>
    <n v="1"/>
    <n v="25.46"/>
    <n v="20"/>
    <n v="20.37"/>
    <n v="4.1900000000000004"/>
    <x v="0"/>
  </r>
  <r>
    <s v="ORD-10712"/>
    <x v="442"/>
    <s v="Karen Taylor"/>
    <x v="1"/>
    <s v="Foam Roller"/>
    <x v="4"/>
    <n v="2"/>
    <n v="37.979999999999997"/>
    <n v="10"/>
    <n v="68.36"/>
    <n v="18.940000000000001"/>
    <x v="0"/>
  </r>
  <r>
    <s v="ORD-10713"/>
    <x v="447"/>
    <s v="Donald Johnson"/>
    <x v="4"/>
    <s v="Cycling Gloves"/>
    <x v="4"/>
    <n v="2"/>
    <n v="19.77"/>
    <n v="20"/>
    <n v="31.63"/>
    <n v="11.04"/>
    <x v="2"/>
  </r>
  <r>
    <s v="ORD-10714"/>
    <x v="44"/>
    <s v="Linda Davis"/>
    <x v="4"/>
    <s v="Foam Roller"/>
    <x v="4"/>
    <n v="1"/>
    <n v="16.489999999999998"/>
    <n v="0"/>
    <n v="16.489999999999998"/>
    <n v="2.65"/>
    <x v="1"/>
  </r>
  <r>
    <s v="ORD-10715"/>
    <x v="448"/>
    <s v="Lisa Smith"/>
    <x v="3"/>
    <s v="Portable Charger"/>
    <x v="0"/>
    <n v="2"/>
    <n v="139.47"/>
    <n v="15"/>
    <n v="237.1"/>
    <n v="19.77"/>
    <x v="0"/>
  </r>
  <r>
    <s v="ORD-10716"/>
    <x v="48"/>
    <s v="Kimberly Harris"/>
    <x v="2"/>
    <s v="Running Shoes"/>
    <x v="3"/>
    <n v="3"/>
    <n v="27.52"/>
    <n v="10"/>
    <n v="74.3"/>
    <n v="26.25"/>
    <x v="1"/>
  </r>
  <r>
    <s v="ORD-10717"/>
    <x v="449"/>
    <s v="Richard Ramirez"/>
    <x v="0"/>
    <s v="Keyboard Mechanical"/>
    <x v="0"/>
    <n v="1"/>
    <n v="77.989999999999995"/>
    <n v="5"/>
    <n v="74.09"/>
    <n v="11.77"/>
    <x v="0"/>
  </r>
  <r>
    <s v="ORD-10718"/>
    <x v="450"/>
    <s v="Mary Anderson"/>
    <x v="2"/>
    <s v="Nail Polish Set"/>
    <x v="1"/>
    <n v="3"/>
    <n v="31.21"/>
    <n v="10"/>
    <n v="84.27"/>
    <n v="54.37"/>
    <x v="0"/>
  </r>
  <r>
    <s v="ORD-10719"/>
    <x v="55"/>
    <s v="Ashley Gonzalez"/>
    <x v="2"/>
    <s v="Storage Bins"/>
    <x v="2"/>
    <n v="1"/>
    <n v="22.22"/>
    <n v="0"/>
    <n v="22.22"/>
    <n v="6.56"/>
    <x v="1"/>
  </r>
  <r>
    <s v="ORD-10720"/>
    <x v="451"/>
    <s v="Emily Perez"/>
    <x v="2"/>
    <s v="Sunscreen SPF50"/>
    <x v="1"/>
    <n v="4"/>
    <n v="20.8"/>
    <n v="25"/>
    <n v="62.4"/>
    <n v="40.25"/>
    <x v="1"/>
  </r>
  <r>
    <s v="ORD-10721"/>
    <x v="152"/>
    <s v="Mary Perez"/>
    <x v="4"/>
    <s v="Knife Set"/>
    <x v="2"/>
    <n v="2"/>
    <n v="54.21"/>
    <n v="0"/>
    <n v="108.42"/>
    <n v="23.11"/>
    <x v="1"/>
  </r>
  <r>
    <s v="ORD-10722"/>
    <x v="452"/>
    <s v="Lisa Lopez"/>
    <x v="4"/>
    <s v="Cycling Gloves"/>
    <x v="4"/>
    <n v="3"/>
    <n v="25.66"/>
    <n v="10"/>
    <n v="69.28"/>
    <n v="16.63"/>
    <x v="0"/>
  </r>
  <r>
    <s v="ORD-10723"/>
    <x v="15"/>
    <s v="Elizabeth Ramirez"/>
    <x v="3"/>
    <s v="Foam Roller"/>
    <x v="4"/>
    <n v="1"/>
    <n v="52.15"/>
    <n v="10"/>
    <n v="46.94"/>
    <n v="9.1300000000000008"/>
    <x v="1"/>
  </r>
  <r>
    <s v="ORD-10724"/>
    <x v="114"/>
    <s v="Linda Gonzalez"/>
    <x v="3"/>
    <s v="Perfume Travel"/>
    <x v="1"/>
    <n v="3"/>
    <n v="35.71"/>
    <n v="0"/>
    <n v="107.13"/>
    <n v="47.51"/>
    <x v="0"/>
  </r>
  <r>
    <s v="ORD-10725"/>
    <x v="400"/>
    <s v="Richard Rodriguez"/>
    <x v="3"/>
    <s v="Casual Sneakers"/>
    <x v="3"/>
    <n v="4"/>
    <n v="33.92"/>
    <n v="20"/>
    <n v="108.54"/>
    <n v="35.409999999999997"/>
    <x v="1"/>
  </r>
  <r>
    <s v="ORD-10726"/>
    <x v="413"/>
    <s v="Michael Smith"/>
    <x v="1"/>
    <s v="Face Mask Pack"/>
    <x v="1"/>
    <n v="2"/>
    <n v="23.05"/>
    <n v="0"/>
    <n v="46.1"/>
    <n v="19.670000000000002"/>
    <x v="2"/>
  </r>
  <r>
    <s v="ORD-10727"/>
    <x v="345"/>
    <s v="Joshua Lee"/>
    <x v="3"/>
    <s v="Resistance Bands"/>
    <x v="4"/>
    <n v="2"/>
    <n v="34.270000000000003"/>
    <n v="0"/>
    <n v="68.540000000000006"/>
    <n v="18.239999999999998"/>
    <x v="2"/>
  </r>
  <r>
    <s v="ORD-10728"/>
    <x v="396"/>
    <s v="Emily Brown"/>
    <x v="4"/>
    <s v="Sunscreen SPF50"/>
    <x v="1"/>
    <n v="3"/>
    <n v="35.17"/>
    <n v="0"/>
    <n v="105.51"/>
    <n v="67.72"/>
    <x v="0"/>
  </r>
  <r>
    <s v="ORD-10729"/>
    <x v="453"/>
    <s v="Andrew Harris"/>
    <x v="4"/>
    <s v="Cotton T-Shirt"/>
    <x v="3"/>
    <n v="1"/>
    <n v="16.13"/>
    <n v="0"/>
    <n v="16.13"/>
    <n v="7.14"/>
    <x v="0"/>
  </r>
  <r>
    <s v="ORD-10730"/>
    <x v="140"/>
    <s v="Kimberly Garcia"/>
    <x v="0"/>
    <s v="Yoga Mat"/>
    <x v="4"/>
    <n v="3"/>
    <n v="9.4"/>
    <n v="5"/>
    <n v="26.79"/>
    <n v="6.93"/>
    <x v="0"/>
  </r>
  <r>
    <s v="ORD-10731"/>
    <x v="410"/>
    <s v="Lisa Jones"/>
    <x v="4"/>
    <s v="Lip Balm Set"/>
    <x v="1"/>
    <n v="1"/>
    <n v="48.1"/>
    <n v="10"/>
    <n v="43.29"/>
    <n v="26.92"/>
    <x v="0"/>
  </r>
  <r>
    <s v="ORD-10732"/>
    <x v="454"/>
    <s v="Matthew Rodriguez"/>
    <x v="1"/>
    <s v="Wool Sweater"/>
    <x v="3"/>
    <n v="3"/>
    <n v="25.64"/>
    <n v="10"/>
    <n v="69.23"/>
    <n v="27.38"/>
    <x v="0"/>
  </r>
  <r>
    <s v="ORD-10733"/>
    <x v="455"/>
    <s v="Dorothy Wilson"/>
    <x v="4"/>
    <s v="Lip Balm Set"/>
    <x v="1"/>
    <n v="3"/>
    <n v="38.630000000000003"/>
    <n v="25"/>
    <n v="86.92"/>
    <n v="40.79"/>
    <x v="1"/>
  </r>
  <r>
    <s v="ORD-10734"/>
    <x v="456"/>
    <s v="Nancy Lopez"/>
    <x v="1"/>
    <s v="Denim Jacket"/>
    <x v="3"/>
    <n v="2"/>
    <n v="64.239999999999995"/>
    <n v="0"/>
    <n v="128.47999999999999"/>
    <n v="61.89"/>
    <x v="0"/>
  </r>
  <r>
    <s v="ORD-10735"/>
    <x v="219"/>
    <s v="Joshua Taylor"/>
    <x v="3"/>
    <s v="Shampoo Organic"/>
    <x v="1"/>
    <n v="2"/>
    <n v="39.51"/>
    <n v="25"/>
    <n v="59.27"/>
    <n v="32.22"/>
    <x v="0"/>
  </r>
  <r>
    <s v="ORD-10736"/>
    <x v="166"/>
    <s v="James Jackson"/>
    <x v="4"/>
    <s v="USB-C Hub"/>
    <x v="0"/>
    <n v="1"/>
    <n v="147.55000000000001"/>
    <n v="0"/>
    <n v="147.55000000000001"/>
    <n v="18.77"/>
    <x v="0"/>
  </r>
  <r>
    <s v="ORD-10737"/>
    <x v="457"/>
    <s v="Joseph Thompson"/>
    <x v="1"/>
    <s v="Laptop Stand"/>
    <x v="0"/>
    <n v="1"/>
    <n v="29.41"/>
    <n v="5"/>
    <n v="27.94"/>
    <n v="4.01"/>
    <x v="1"/>
  </r>
  <r>
    <s v="ORD-10738"/>
    <x v="389"/>
    <s v="Andrew Jackson"/>
    <x v="2"/>
    <s v="Casual Sneakers"/>
    <x v="3"/>
    <n v="1"/>
    <n v="58.74"/>
    <n v="0"/>
    <n v="58.74"/>
    <n v="21.93"/>
    <x v="1"/>
  </r>
  <r>
    <s v="ORD-10739"/>
    <x v="385"/>
    <s v="Karen Gonzalez"/>
    <x v="2"/>
    <s v="Hair Oil"/>
    <x v="1"/>
    <n v="3"/>
    <n v="43.87"/>
    <n v="10"/>
    <n v="118.45"/>
    <n v="60.11"/>
    <x v="1"/>
  </r>
  <r>
    <s v="ORD-10740"/>
    <x v="458"/>
    <s v="Donald Jones"/>
    <x v="2"/>
    <s v="Yoga Mat"/>
    <x v="4"/>
    <n v="1"/>
    <n v="32.68"/>
    <n v="5"/>
    <n v="31.05"/>
    <n v="10.39"/>
    <x v="0"/>
  </r>
  <r>
    <s v="ORD-10741"/>
    <x v="204"/>
    <s v="Betty Gonzalez"/>
    <x v="3"/>
    <s v="Pillow Set"/>
    <x v="2"/>
    <n v="3"/>
    <n v="33.130000000000003"/>
    <n v="0"/>
    <n v="99.39"/>
    <n v="34.97"/>
    <x v="0"/>
  </r>
  <r>
    <s v="ORD-10742"/>
    <x v="341"/>
    <s v="Anthony Hernandez"/>
    <x v="0"/>
    <s v="Dumbbells 10lb"/>
    <x v="4"/>
    <n v="2"/>
    <n v="25.2"/>
    <n v="10"/>
    <n v="45.36"/>
    <n v="8.7200000000000006"/>
    <x v="0"/>
  </r>
  <r>
    <s v="ORD-10743"/>
    <x v="102"/>
    <s v="David Garcia"/>
    <x v="3"/>
    <s v="Athletic Socks"/>
    <x v="3"/>
    <n v="1"/>
    <n v="28.41"/>
    <n v="0"/>
    <n v="28.41"/>
    <n v="8.9499999999999993"/>
    <x v="0"/>
  </r>
  <r>
    <s v="ORD-10744"/>
    <x v="459"/>
    <s v="James Garcia"/>
    <x v="3"/>
    <s v="Tablet Case"/>
    <x v="0"/>
    <n v="4"/>
    <n v="97.9"/>
    <n v="15"/>
    <n v="332.86"/>
    <n v="62.16"/>
    <x v="0"/>
  </r>
  <r>
    <s v="ORD-10745"/>
    <x v="377"/>
    <s v="Sandra Brown"/>
    <x v="0"/>
    <s v="Storage Bins"/>
    <x v="2"/>
    <n v="3"/>
    <n v="62.62"/>
    <n v="10"/>
    <n v="169.07"/>
    <n v="38.1"/>
    <x v="0"/>
  </r>
  <r>
    <s v="ORD-10746"/>
    <x v="460"/>
    <s v="Lisa Smith"/>
    <x v="3"/>
    <s v="Portable Charger"/>
    <x v="0"/>
    <n v="2"/>
    <n v="128.4"/>
    <n v="10"/>
    <n v="231.12"/>
    <n v="20.18"/>
    <x v="0"/>
  </r>
  <r>
    <s v="ORD-10747"/>
    <x v="461"/>
    <s v="Michelle Clark"/>
    <x v="4"/>
    <s v="Smart Watch"/>
    <x v="0"/>
    <n v="3"/>
    <n v="90.84"/>
    <n v="0"/>
    <n v="272.52"/>
    <n v="58.75"/>
    <x v="0"/>
  </r>
  <r>
    <s v="ORD-10748"/>
    <x v="383"/>
    <s v="Mary Lopez"/>
    <x v="3"/>
    <s v="Face Mask Pack"/>
    <x v="1"/>
    <n v="3"/>
    <n v="10.01"/>
    <n v="0"/>
    <n v="30.03"/>
    <n v="12.46"/>
    <x v="0"/>
  </r>
  <r>
    <s v="ORD-10749"/>
    <x v="462"/>
    <s v="James Ramirez"/>
    <x v="4"/>
    <s v="Keyboard Mechanical"/>
    <x v="0"/>
    <n v="1"/>
    <n v="88.23"/>
    <n v="10"/>
    <n v="79.41"/>
    <n v="14.49"/>
    <x v="1"/>
  </r>
  <r>
    <s v="ORD-10750"/>
    <x v="114"/>
    <s v="Thomas Anderson"/>
    <x v="4"/>
    <s v="Denim Jacket"/>
    <x v="3"/>
    <n v="3"/>
    <n v="40.79"/>
    <n v="0"/>
    <n v="122.37"/>
    <n v="39.15"/>
    <x v="0"/>
  </r>
  <r>
    <s v="ORD-10751"/>
    <x v="238"/>
    <s v="Dorothy Jones"/>
    <x v="1"/>
    <s v="Water Bottle"/>
    <x v="4"/>
    <n v="2"/>
    <n v="29.64"/>
    <n v="10"/>
    <n v="53.35"/>
    <n v="12.22"/>
    <x v="0"/>
  </r>
  <r>
    <s v="ORD-10752"/>
    <x v="309"/>
    <s v="Elizabeth Smith"/>
    <x v="3"/>
    <s v="Eye Cream"/>
    <x v="1"/>
    <n v="2"/>
    <n v="27.71"/>
    <n v="0"/>
    <n v="55.42"/>
    <n v="29.08"/>
    <x v="1"/>
  </r>
  <r>
    <s v="ORD-10753"/>
    <x v="463"/>
    <s v="Mark Thompson"/>
    <x v="2"/>
    <s v="Cargo Shorts"/>
    <x v="3"/>
    <n v="2"/>
    <n v="57.71"/>
    <n v="15"/>
    <n v="98.11"/>
    <n v="32.96"/>
    <x v="0"/>
  </r>
  <r>
    <s v="ORD-10754"/>
    <x v="2"/>
    <s v="Sandra Thomas"/>
    <x v="1"/>
    <s v="Knife Set"/>
    <x v="2"/>
    <n v="1"/>
    <n v="38.43"/>
    <n v="0"/>
    <n v="38.43"/>
    <n v="10.72"/>
    <x v="0"/>
  </r>
  <r>
    <s v="ORD-10755"/>
    <x v="302"/>
    <s v="Donald Lopez"/>
    <x v="1"/>
    <s v="Desk Lamp"/>
    <x v="2"/>
    <n v="3"/>
    <n v="43.5"/>
    <n v="5"/>
    <n v="123.98"/>
    <n v="41.34"/>
    <x v="0"/>
  </r>
  <r>
    <s v="ORD-10756"/>
    <x v="281"/>
    <s v="David Jackson"/>
    <x v="1"/>
    <s v="Lip Balm Set"/>
    <x v="1"/>
    <n v="3"/>
    <n v="39"/>
    <n v="10"/>
    <n v="105.3"/>
    <n v="43.2"/>
    <x v="1"/>
  </r>
  <r>
    <s v="ORD-10757"/>
    <x v="309"/>
    <s v="Christopher Martin"/>
    <x v="3"/>
    <s v="Yoga Mat"/>
    <x v="4"/>
    <n v="4"/>
    <n v="56.3"/>
    <n v="10"/>
    <n v="202.68"/>
    <n v="70.650000000000006"/>
    <x v="2"/>
  </r>
  <r>
    <s v="ORD-10758"/>
    <x v="464"/>
    <s v="Donna Martin"/>
    <x v="1"/>
    <s v="Nail Polish Set"/>
    <x v="1"/>
    <n v="2"/>
    <n v="48.44"/>
    <n v="0"/>
    <n v="96.88"/>
    <n v="55.7"/>
    <x v="0"/>
  </r>
  <r>
    <s v="ORD-10759"/>
    <x v="228"/>
    <s v="Kevin Johnson"/>
    <x v="2"/>
    <s v="Yoga Mat"/>
    <x v="4"/>
    <n v="4"/>
    <n v="35.04"/>
    <n v="0"/>
    <n v="140.16"/>
    <n v="31.81"/>
    <x v="0"/>
  </r>
  <r>
    <s v="ORD-10760"/>
    <x v="41"/>
    <s v="Michael Lee"/>
    <x v="2"/>
    <s v="Shampoo Organic"/>
    <x v="1"/>
    <n v="2"/>
    <n v="44.36"/>
    <n v="0"/>
    <n v="88.72"/>
    <n v="38.590000000000003"/>
    <x v="1"/>
  </r>
  <r>
    <s v="ORD-10761"/>
    <x v="2"/>
    <s v="Barbara Thompson"/>
    <x v="3"/>
    <s v="Pillow Set"/>
    <x v="2"/>
    <n v="2"/>
    <n v="38.24"/>
    <n v="5"/>
    <n v="72.66"/>
    <n v="28.78"/>
    <x v="0"/>
  </r>
  <r>
    <s v="ORD-10762"/>
    <x v="105"/>
    <s v="Sarah Thompson"/>
    <x v="2"/>
    <s v="Wool Sweater"/>
    <x v="3"/>
    <n v="2"/>
    <n v="80.599999999999994"/>
    <n v="25"/>
    <n v="120.9"/>
    <n v="63.98"/>
    <x v="1"/>
  </r>
  <r>
    <s v="ORD-10763"/>
    <x v="465"/>
    <s v="Nancy White"/>
    <x v="3"/>
    <s v="Desk Lamp"/>
    <x v="2"/>
    <n v="2"/>
    <n v="56.62"/>
    <n v="10"/>
    <n v="101.92"/>
    <n v="20.83"/>
    <x v="1"/>
  </r>
  <r>
    <s v="ORD-10764"/>
    <x v="466"/>
    <s v="Lisa Thompson"/>
    <x v="1"/>
    <s v="Swim Goggles"/>
    <x v="4"/>
    <n v="2"/>
    <n v="58.77"/>
    <n v="0"/>
    <n v="117.54"/>
    <n v="38.159999999999997"/>
    <x v="1"/>
  </r>
  <r>
    <s v="ORD-10765"/>
    <x v="42"/>
    <s v="Jennifer Perez"/>
    <x v="1"/>
    <s v="Casual Sneakers"/>
    <x v="3"/>
    <n v="1"/>
    <n v="41.98"/>
    <n v="25"/>
    <n v="31.49"/>
    <n v="12.04"/>
    <x v="1"/>
  </r>
  <r>
    <s v="ORD-10766"/>
    <x v="467"/>
    <s v="Susan Robinson"/>
    <x v="1"/>
    <s v="Resistance Bands"/>
    <x v="4"/>
    <n v="2"/>
    <n v="17.5"/>
    <n v="15"/>
    <n v="29.75"/>
    <n v="7.22"/>
    <x v="0"/>
  </r>
  <r>
    <s v="ORD-10767"/>
    <x v="205"/>
    <s v="Donna Hernandez"/>
    <x v="1"/>
    <s v="Coffee Maker"/>
    <x v="2"/>
    <n v="3"/>
    <n v="72.13"/>
    <n v="0"/>
    <n v="216.39"/>
    <n v="77.47"/>
    <x v="0"/>
  </r>
  <r>
    <s v="ORD-10768"/>
    <x v="468"/>
    <s v="Barbara Clark"/>
    <x v="1"/>
    <s v="Mouse Wireless"/>
    <x v="0"/>
    <n v="1"/>
    <n v="126.15"/>
    <n v="10"/>
    <n v="113.54"/>
    <n v="21.08"/>
    <x v="0"/>
  </r>
  <r>
    <s v="ORD-10769"/>
    <x v="350"/>
    <s v="Michelle White"/>
    <x v="0"/>
    <s v="Door Mat"/>
    <x v="2"/>
    <n v="2"/>
    <n v="41.05"/>
    <n v="0"/>
    <n v="82.1"/>
    <n v="30.96"/>
    <x v="0"/>
  </r>
  <r>
    <s v="ORD-10770"/>
    <x v="469"/>
    <s v="Jennifer Ramirez"/>
    <x v="4"/>
    <s v="Rain Jacket"/>
    <x v="3"/>
    <n v="1"/>
    <n v="80.819999999999993"/>
    <n v="5"/>
    <n v="76.78"/>
    <n v="28.85"/>
    <x v="1"/>
  </r>
  <r>
    <s v="ORD-10771"/>
    <x v="470"/>
    <s v="Steven Hernandez"/>
    <x v="4"/>
    <s v="Storage Bins"/>
    <x v="2"/>
    <n v="2"/>
    <n v="75.25"/>
    <n v="20"/>
    <n v="120.4"/>
    <n v="40.159999999999997"/>
    <x v="0"/>
  </r>
  <r>
    <s v="ORD-10772"/>
    <x v="471"/>
    <s v="Donald Johnson"/>
    <x v="4"/>
    <s v="Mouse Wireless"/>
    <x v="0"/>
    <n v="4"/>
    <n v="98.09"/>
    <n v="5"/>
    <n v="372.74"/>
    <n v="60.42"/>
    <x v="1"/>
  </r>
  <r>
    <s v="ORD-10773"/>
    <x v="472"/>
    <s v="Emily Miller"/>
    <x v="4"/>
    <s v="Dumbbells 10lb"/>
    <x v="4"/>
    <n v="1"/>
    <n v="27.27"/>
    <n v="0"/>
    <n v="27.27"/>
    <n v="9.3800000000000008"/>
    <x v="0"/>
  </r>
  <r>
    <s v="ORD-10774"/>
    <x v="473"/>
    <s v="Robert Jackson"/>
    <x v="4"/>
    <s v="Tennis Balls"/>
    <x v="4"/>
    <n v="2"/>
    <n v="28.96"/>
    <n v="0"/>
    <n v="57.92"/>
    <n v="16.04"/>
    <x v="2"/>
  </r>
  <r>
    <s v="ORD-10775"/>
    <x v="474"/>
    <s v="Steven Sanchez"/>
    <x v="3"/>
    <s v="Gym Bag"/>
    <x v="4"/>
    <n v="1"/>
    <n v="58.35"/>
    <n v="20"/>
    <n v="46.68"/>
    <n v="15.8"/>
    <x v="1"/>
  </r>
  <r>
    <s v="ORD-10776"/>
    <x v="125"/>
    <s v="Donald Jones"/>
    <x v="0"/>
    <s v="Resistance Bands"/>
    <x v="4"/>
    <n v="3"/>
    <n v="24.14"/>
    <n v="10"/>
    <n v="65.180000000000007"/>
    <n v="13.4"/>
    <x v="0"/>
  </r>
  <r>
    <s v="ORD-10777"/>
    <x v="475"/>
    <s v="James Moore"/>
    <x v="1"/>
    <s v="Rain Jacket"/>
    <x v="3"/>
    <n v="1"/>
    <n v="41.12"/>
    <n v="15"/>
    <n v="34.950000000000003"/>
    <n v="17.600000000000001"/>
    <x v="1"/>
  </r>
  <r>
    <s v="ORD-10778"/>
    <x v="435"/>
    <s v="Dorothy Ramirez"/>
    <x v="3"/>
    <s v="Scented Candle Set"/>
    <x v="2"/>
    <n v="1"/>
    <n v="43.99"/>
    <n v="5"/>
    <n v="41.79"/>
    <n v="12.91"/>
    <x v="1"/>
  </r>
  <r>
    <s v="ORD-10779"/>
    <x v="453"/>
    <s v="Linda Ramirez"/>
    <x v="0"/>
    <s v="Yoga Pants"/>
    <x v="3"/>
    <n v="1"/>
    <n v="57.01"/>
    <n v="5"/>
    <n v="54.16"/>
    <n v="29.08"/>
    <x v="0"/>
  </r>
  <r>
    <s v="ORD-10780"/>
    <x v="476"/>
    <s v="Jennifer Williams"/>
    <x v="4"/>
    <s v="Gym Bag"/>
    <x v="4"/>
    <n v="1"/>
    <n v="42.16"/>
    <n v="0"/>
    <n v="42.16"/>
    <n v="8.14"/>
    <x v="0"/>
  </r>
  <r>
    <s v="ORD-10781"/>
    <x v="260"/>
    <s v="Carol White"/>
    <x v="1"/>
    <s v="Sunscreen SPF50"/>
    <x v="1"/>
    <n v="2"/>
    <n v="16.260000000000002"/>
    <n v="0"/>
    <n v="32.520000000000003"/>
    <n v="13.67"/>
    <x v="0"/>
  </r>
  <r>
    <s v="ORD-10782"/>
    <x v="477"/>
    <s v="Joseph Taylor"/>
    <x v="1"/>
    <s v="Door Mat"/>
    <x v="2"/>
    <n v="2"/>
    <n v="44.58"/>
    <n v="0"/>
    <n v="89.16"/>
    <n v="32.36"/>
    <x v="2"/>
  </r>
  <r>
    <s v="ORD-10783"/>
    <x v="463"/>
    <s v="Donna Martinez"/>
    <x v="2"/>
    <s v="Mouse Wireless"/>
    <x v="0"/>
    <n v="3"/>
    <n v="81.849999999999994"/>
    <n v="5"/>
    <n v="233.27"/>
    <n v="54.81"/>
    <x v="0"/>
  </r>
  <r>
    <s v="ORD-10784"/>
    <x v="172"/>
    <s v="Carol Martinez"/>
    <x v="4"/>
    <s v="Face Moisturizer"/>
    <x v="1"/>
    <n v="1"/>
    <n v="19.78"/>
    <n v="5"/>
    <n v="18.79"/>
    <n v="9.02"/>
    <x v="0"/>
  </r>
  <r>
    <s v="ORD-10785"/>
    <x v="478"/>
    <s v="Linda Lee"/>
    <x v="0"/>
    <s v="Denim Jacket"/>
    <x v="3"/>
    <n v="3"/>
    <n v="31.02"/>
    <n v="0"/>
    <n v="93.06"/>
    <n v="34.82"/>
    <x v="0"/>
  </r>
  <r>
    <s v="ORD-10786"/>
    <x v="315"/>
    <s v="Sandra White"/>
    <x v="3"/>
    <s v="Tennis Balls"/>
    <x v="4"/>
    <n v="4"/>
    <n v="54.32"/>
    <n v="15"/>
    <n v="184.69"/>
    <n v="60.97"/>
    <x v="1"/>
  </r>
  <r>
    <s v="ORD-10787"/>
    <x v="479"/>
    <s v="Sarah Lee"/>
    <x v="3"/>
    <s v="Perfume Travel"/>
    <x v="1"/>
    <n v="3"/>
    <n v="32.29"/>
    <n v="10"/>
    <n v="87.18"/>
    <n v="56.66"/>
    <x v="0"/>
  </r>
  <r>
    <s v="ORD-10788"/>
    <x v="205"/>
    <s v="Joseph Smith"/>
    <x v="4"/>
    <s v="Gym Bag"/>
    <x v="4"/>
    <n v="1"/>
    <n v="19.149999999999999"/>
    <n v="0"/>
    <n v="19.149999999999999"/>
    <n v="3.96"/>
    <x v="0"/>
  </r>
  <r>
    <s v="ORD-10789"/>
    <x v="413"/>
    <s v="Christopher Jones"/>
    <x v="4"/>
    <s v="Portable Charger"/>
    <x v="0"/>
    <n v="1"/>
    <n v="44.85"/>
    <n v="10"/>
    <n v="40.369999999999997"/>
    <n v="8.14"/>
    <x v="1"/>
  </r>
  <r>
    <s v="ORD-10790"/>
    <x v="480"/>
    <s v="Michelle Gonzalez"/>
    <x v="4"/>
    <s v="Scented Candle Set"/>
    <x v="2"/>
    <n v="2"/>
    <n v="73.8"/>
    <n v="15"/>
    <n v="125.46"/>
    <n v="27.85"/>
    <x v="1"/>
  </r>
  <r>
    <s v="ORD-10791"/>
    <x v="221"/>
    <s v="Joseph Jones"/>
    <x v="4"/>
    <s v="Casual Sneakers"/>
    <x v="3"/>
    <n v="1"/>
    <n v="38.19"/>
    <n v="25"/>
    <n v="28.64"/>
    <n v="11.92"/>
    <x v="0"/>
  </r>
  <r>
    <s v="ORD-10792"/>
    <x v="18"/>
    <s v="Elizabeth Rodriguez"/>
    <x v="2"/>
    <s v="Desk Lamp"/>
    <x v="2"/>
    <n v="1"/>
    <n v="43.03"/>
    <n v="0"/>
    <n v="43.03"/>
    <n v="11.02"/>
    <x v="0"/>
  </r>
  <r>
    <s v="ORD-10793"/>
    <x v="481"/>
    <s v="Jessica Rodriguez"/>
    <x v="1"/>
    <s v="Eye Cream"/>
    <x v="1"/>
    <n v="4"/>
    <n v="14.98"/>
    <n v="10"/>
    <n v="53.93"/>
    <n v="29.86"/>
    <x v="0"/>
  </r>
  <r>
    <s v="ORD-10794"/>
    <x v="261"/>
    <s v="Steven Miller"/>
    <x v="2"/>
    <s v="Yoga Pants"/>
    <x v="3"/>
    <n v="3"/>
    <n v="81.239999999999995"/>
    <n v="15"/>
    <n v="207.16"/>
    <n v="72.27"/>
    <x v="0"/>
  </r>
  <r>
    <s v="ORD-10795"/>
    <x v="228"/>
    <s v="Elizabeth Harris"/>
    <x v="1"/>
    <s v="Running Shoes"/>
    <x v="3"/>
    <n v="5"/>
    <n v="73.12"/>
    <n v="0"/>
    <n v="365.6"/>
    <n v="150.05000000000001"/>
    <x v="0"/>
  </r>
  <r>
    <s v="ORD-10796"/>
    <x v="482"/>
    <s v="Lisa Johnson"/>
    <x v="0"/>
    <s v="Knife Set"/>
    <x v="2"/>
    <n v="2"/>
    <n v="46.25"/>
    <n v="10"/>
    <n v="83.25"/>
    <n v="20.78"/>
    <x v="0"/>
  </r>
  <r>
    <s v="ORD-10797"/>
    <x v="483"/>
    <s v="Nancy Taylor"/>
    <x v="3"/>
    <s v="Tennis Balls"/>
    <x v="4"/>
    <n v="4"/>
    <n v="17.04"/>
    <n v="0"/>
    <n v="68.16"/>
    <n v="12.94"/>
    <x v="1"/>
  </r>
  <r>
    <s v="ORD-10798"/>
    <x v="145"/>
    <s v="Paul Miller"/>
    <x v="3"/>
    <s v="Cotton T-Shirt"/>
    <x v="3"/>
    <n v="2"/>
    <n v="57.29"/>
    <n v="0"/>
    <n v="114.58"/>
    <n v="60.08"/>
    <x v="0"/>
  </r>
  <r>
    <s v="ORD-10799"/>
    <x v="484"/>
    <s v="David Garcia"/>
    <x v="0"/>
    <s v="Body Lotion"/>
    <x v="1"/>
    <n v="2"/>
    <n v="8.23"/>
    <n v="0"/>
    <n v="16.46"/>
    <n v="10.220000000000001"/>
    <x v="1"/>
  </r>
  <r>
    <s v="ORD-10800"/>
    <x v="234"/>
    <s v="Linda Rodriguez"/>
    <x v="4"/>
    <s v="Tablet Case"/>
    <x v="0"/>
    <n v="1"/>
    <n v="27.06"/>
    <n v="15"/>
    <n v="23"/>
    <n v="2.96"/>
    <x v="0"/>
  </r>
  <r>
    <s v="ORD-10801"/>
    <x v="466"/>
    <s v="Lisa Robinson"/>
    <x v="2"/>
    <s v="Face Moisturizer"/>
    <x v="1"/>
    <n v="2"/>
    <n v="15.66"/>
    <n v="10"/>
    <n v="28.19"/>
    <n v="16.36"/>
    <x v="0"/>
  </r>
  <r>
    <s v="ORD-10802"/>
    <x v="122"/>
    <s v="Richard Clark"/>
    <x v="4"/>
    <s v="Blender"/>
    <x v="2"/>
    <n v="2"/>
    <n v="20.25"/>
    <n v="0"/>
    <n v="40.5"/>
    <n v="15.52"/>
    <x v="0"/>
  </r>
  <r>
    <s v="ORD-10803"/>
    <x v="485"/>
    <s v="Christopher Wilson"/>
    <x v="0"/>
    <s v="Running Shoes"/>
    <x v="3"/>
    <n v="4"/>
    <n v="16.68"/>
    <n v="0"/>
    <n v="66.72"/>
    <n v="32.840000000000003"/>
    <x v="1"/>
  </r>
  <r>
    <s v="ORD-10804"/>
    <x v="294"/>
    <s v="Mark Thompson"/>
    <x v="3"/>
    <s v="Yoga Mat"/>
    <x v="4"/>
    <n v="2"/>
    <n v="45.45"/>
    <n v="0"/>
    <n v="90.9"/>
    <n v="29.59"/>
    <x v="0"/>
  </r>
  <r>
    <s v="ORD-10805"/>
    <x v="278"/>
    <s v="Mark Harris"/>
    <x v="1"/>
    <s v="Blender"/>
    <x v="2"/>
    <n v="1"/>
    <n v="26.83"/>
    <n v="10"/>
    <n v="24.15"/>
    <n v="4.9800000000000004"/>
    <x v="1"/>
  </r>
  <r>
    <s v="ORD-10806"/>
    <x v="486"/>
    <s v="Thomas Taylor"/>
    <x v="0"/>
    <s v="Casual Sneakers"/>
    <x v="3"/>
    <n v="1"/>
    <n v="42.04"/>
    <n v="5"/>
    <n v="39.94"/>
    <n v="21.42"/>
    <x v="1"/>
  </r>
  <r>
    <s v="ORD-10807"/>
    <x v="487"/>
    <s v="Daniel Williams"/>
    <x v="1"/>
    <s v="Tennis Balls"/>
    <x v="4"/>
    <n v="1"/>
    <n v="10.93"/>
    <n v="10"/>
    <n v="9.84"/>
    <n v="3.38"/>
    <x v="1"/>
  </r>
  <r>
    <s v="ORD-10808"/>
    <x v="488"/>
    <s v="Michelle Miller"/>
    <x v="3"/>
    <s v="Mouse Wireless"/>
    <x v="0"/>
    <n v="1"/>
    <n v="51.42"/>
    <n v="0"/>
    <n v="51.42"/>
    <n v="10.65"/>
    <x v="0"/>
  </r>
  <r>
    <s v="ORD-10809"/>
    <x v="19"/>
    <s v="Matthew Johnson"/>
    <x v="4"/>
    <s v="Blender"/>
    <x v="2"/>
    <n v="5"/>
    <n v="31.67"/>
    <n v="5"/>
    <n v="150.43"/>
    <n v="50.37"/>
    <x v="0"/>
  </r>
  <r>
    <s v="ORD-10810"/>
    <x v="489"/>
    <s v="Andrew Brown"/>
    <x v="1"/>
    <s v="Knife Set"/>
    <x v="2"/>
    <n v="1"/>
    <n v="79.23"/>
    <n v="0"/>
    <n v="79.23"/>
    <n v="26.89"/>
    <x v="0"/>
  </r>
  <r>
    <s v="ORD-10811"/>
    <x v="342"/>
    <s v="Donna Davis"/>
    <x v="2"/>
    <s v="Denim Jacket"/>
    <x v="3"/>
    <n v="1"/>
    <n v="76.22"/>
    <n v="0"/>
    <n v="76.22"/>
    <n v="27.62"/>
    <x v="1"/>
  </r>
  <r>
    <s v="ORD-10812"/>
    <x v="296"/>
    <s v="Thomas Robinson"/>
    <x v="1"/>
    <s v="Body Lotion"/>
    <x v="1"/>
    <n v="1"/>
    <n v="48.13"/>
    <n v="25"/>
    <n v="36.1"/>
    <n v="14.88"/>
    <x v="0"/>
  </r>
  <r>
    <s v="ORD-10813"/>
    <x v="490"/>
    <s v="Ashley Johnson"/>
    <x v="3"/>
    <s v="Keyboard Mechanical"/>
    <x v="0"/>
    <n v="4"/>
    <n v="113.66"/>
    <n v="15"/>
    <n v="386.44"/>
    <n v="57.13"/>
    <x v="0"/>
  </r>
  <r>
    <s v="ORD-10814"/>
    <x v="491"/>
    <s v="Kenneth Wilson"/>
    <x v="4"/>
    <s v="Swim Goggles"/>
    <x v="4"/>
    <n v="3"/>
    <n v="46.25"/>
    <n v="15"/>
    <n v="117.94"/>
    <n v="25.91"/>
    <x v="0"/>
  </r>
  <r>
    <s v="ORD-10815"/>
    <x v="413"/>
    <s v="Kenneth Moore"/>
    <x v="4"/>
    <s v="Perfume Travel"/>
    <x v="1"/>
    <n v="1"/>
    <n v="40.83"/>
    <n v="10"/>
    <n v="36.75"/>
    <n v="20.83"/>
    <x v="0"/>
  </r>
  <r>
    <s v="ORD-10816"/>
    <x v="54"/>
    <s v="Thomas Williams"/>
    <x v="0"/>
    <s v="Scented Candle Set"/>
    <x v="2"/>
    <n v="1"/>
    <n v="25.15"/>
    <n v="5"/>
    <n v="23.89"/>
    <n v="9.3699999999999992"/>
    <x v="0"/>
  </r>
  <r>
    <s v="ORD-10817"/>
    <x v="330"/>
    <s v="Barbara Jones"/>
    <x v="1"/>
    <s v="Rain Jacket"/>
    <x v="3"/>
    <n v="3"/>
    <n v="80.78"/>
    <n v="0"/>
    <n v="242.34"/>
    <n v="98.58"/>
    <x v="0"/>
  </r>
  <r>
    <s v="ORD-10818"/>
    <x v="438"/>
    <s v="Joshua Lewis"/>
    <x v="2"/>
    <s v="Wireless Headphones"/>
    <x v="0"/>
    <n v="3"/>
    <n v="129.13999999999999"/>
    <n v="10"/>
    <n v="348.68"/>
    <n v="52.01"/>
    <x v="0"/>
  </r>
  <r>
    <s v="ORD-10819"/>
    <x v="484"/>
    <s v="Thomas Robinson"/>
    <x v="1"/>
    <s v="Yoga Mat"/>
    <x v="4"/>
    <n v="1"/>
    <n v="33.49"/>
    <n v="15"/>
    <n v="28.47"/>
    <n v="7.09"/>
    <x v="0"/>
  </r>
  <r>
    <s v="ORD-10820"/>
    <x v="461"/>
    <s v="Richard Lopez"/>
    <x v="2"/>
    <s v="Blender"/>
    <x v="2"/>
    <n v="1"/>
    <n v="15.21"/>
    <n v="10"/>
    <n v="13.69"/>
    <n v="5.17"/>
    <x v="1"/>
  </r>
  <r>
    <s v="ORD-10821"/>
    <x v="112"/>
    <s v="Mark Williams"/>
    <x v="1"/>
    <s v="Shampoo Organic"/>
    <x v="1"/>
    <n v="1"/>
    <n v="30.47"/>
    <n v="10"/>
    <n v="27.42"/>
    <n v="12.65"/>
    <x v="1"/>
  </r>
  <r>
    <s v="ORD-10822"/>
    <x v="97"/>
    <s v="Dorothy Hernandez"/>
    <x v="0"/>
    <s v="Denim Jacket"/>
    <x v="3"/>
    <n v="2"/>
    <n v="20.9"/>
    <n v="5"/>
    <n v="39.71"/>
    <n v="19.23"/>
    <x v="1"/>
  </r>
  <r>
    <s v="ORD-10823"/>
    <x v="492"/>
    <s v="Christopher Clark"/>
    <x v="1"/>
    <s v="Knife Set"/>
    <x v="2"/>
    <n v="1"/>
    <n v="17.149999999999999"/>
    <n v="15"/>
    <n v="14.58"/>
    <n v="3.45"/>
    <x v="1"/>
  </r>
  <r>
    <s v="ORD-10824"/>
    <x v="112"/>
    <s v="Lisa Gonzalez"/>
    <x v="2"/>
    <s v="Door Mat"/>
    <x v="2"/>
    <n v="1"/>
    <n v="41.59"/>
    <n v="10"/>
    <n v="37.43"/>
    <n v="8.86"/>
    <x v="2"/>
  </r>
  <r>
    <s v="ORD-10825"/>
    <x v="204"/>
    <s v="Sandra Miller"/>
    <x v="3"/>
    <s v="Scented Candle Set"/>
    <x v="2"/>
    <n v="2"/>
    <n v="53.1"/>
    <n v="15"/>
    <n v="90.27"/>
    <n v="22.72"/>
    <x v="0"/>
  </r>
  <r>
    <s v="ORD-10826"/>
    <x v="443"/>
    <s v="William Miller"/>
    <x v="1"/>
    <s v="Gym Bag"/>
    <x v="4"/>
    <n v="1"/>
    <n v="31.11"/>
    <n v="0"/>
    <n v="31.11"/>
    <n v="5.95"/>
    <x v="1"/>
  </r>
  <r>
    <s v="ORD-10827"/>
    <x v="18"/>
    <s v="Joseph Lopez"/>
    <x v="4"/>
    <s v="Hair Oil"/>
    <x v="1"/>
    <n v="1"/>
    <n v="24.73"/>
    <n v="15"/>
    <n v="21.02"/>
    <n v="12.63"/>
    <x v="1"/>
  </r>
  <r>
    <s v="ORD-10828"/>
    <x v="228"/>
    <s v="Kenneth Clark"/>
    <x v="3"/>
    <s v="Storage Bins"/>
    <x v="2"/>
    <n v="1"/>
    <n v="79.739999999999995"/>
    <n v="0"/>
    <n v="79.739999999999995"/>
    <n v="30.2"/>
    <x v="2"/>
  </r>
  <r>
    <s v="ORD-10829"/>
    <x v="493"/>
    <s v="Carol Thomas"/>
    <x v="4"/>
    <s v="Tablet Case"/>
    <x v="0"/>
    <n v="2"/>
    <n v="77.72"/>
    <n v="0"/>
    <n v="155.44"/>
    <n v="15.17"/>
    <x v="1"/>
  </r>
  <r>
    <s v="ORD-10830"/>
    <x v="229"/>
    <s v="Karen Brown"/>
    <x v="2"/>
    <s v="Tennis Balls"/>
    <x v="4"/>
    <n v="1"/>
    <n v="36.47"/>
    <n v="0"/>
    <n v="36.47"/>
    <n v="10.06"/>
    <x v="0"/>
  </r>
  <r>
    <s v="ORD-10831"/>
    <x v="375"/>
    <s v="Lisa Moore"/>
    <x v="0"/>
    <s v="Gym Bag"/>
    <x v="4"/>
    <n v="2"/>
    <n v="21.28"/>
    <n v="20"/>
    <n v="34.049999999999997"/>
    <n v="7.93"/>
    <x v="1"/>
  </r>
  <r>
    <s v="ORD-10832"/>
    <x v="453"/>
    <s v="Andrew Smith"/>
    <x v="1"/>
    <s v="Body Lotion"/>
    <x v="1"/>
    <n v="2"/>
    <n v="34.520000000000003"/>
    <n v="25"/>
    <n v="51.78"/>
    <n v="26.93"/>
    <x v="2"/>
  </r>
  <r>
    <s v="ORD-10833"/>
    <x v="77"/>
    <s v="Robert Perez"/>
    <x v="4"/>
    <s v="Cargo Shorts"/>
    <x v="3"/>
    <n v="5"/>
    <n v="28.02"/>
    <n v="20"/>
    <n v="112.08"/>
    <n v="48.17"/>
    <x v="0"/>
  </r>
  <r>
    <s v="ORD-10834"/>
    <x v="368"/>
    <s v="Linda Taylor"/>
    <x v="1"/>
    <s v="Pillow Set"/>
    <x v="2"/>
    <n v="5"/>
    <n v="56.28"/>
    <n v="0"/>
    <n v="281.39999999999998"/>
    <n v="102.48"/>
    <x v="1"/>
  </r>
  <r>
    <s v="ORD-10835"/>
    <x v="494"/>
    <s v="William Anderson"/>
    <x v="0"/>
    <s v="Water Bottle"/>
    <x v="4"/>
    <n v="1"/>
    <n v="45.7"/>
    <n v="5"/>
    <n v="43.42"/>
    <n v="9.51"/>
    <x v="0"/>
  </r>
  <r>
    <s v="ORD-10836"/>
    <x v="460"/>
    <s v="Sarah Clark"/>
    <x v="3"/>
    <s v="Coffee Maker"/>
    <x v="2"/>
    <n v="2"/>
    <n v="36.21"/>
    <n v="0"/>
    <n v="72.42"/>
    <n v="17.77"/>
    <x v="0"/>
  </r>
  <r>
    <s v="ORD-10837"/>
    <x v="472"/>
    <s v="Barbara Martinez"/>
    <x v="3"/>
    <s v="Laptop Stand"/>
    <x v="0"/>
    <n v="1"/>
    <n v="98.41"/>
    <n v="15"/>
    <n v="83.65"/>
    <n v="13.75"/>
    <x v="0"/>
  </r>
  <r>
    <s v="ORD-10838"/>
    <x v="217"/>
    <s v="Andrew Taylor"/>
    <x v="2"/>
    <s v="Webcam HD"/>
    <x v="0"/>
    <n v="2"/>
    <n v="145.76"/>
    <n v="10"/>
    <n v="262.37"/>
    <n v="43.52"/>
    <x v="1"/>
  </r>
  <r>
    <s v="ORD-10839"/>
    <x v="123"/>
    <s v="Michael Robinson"/>
    <x v="2"/>
    <s v="Bluetooth Speaker"/>
    <x v="0"/>
    <n v="1"/>
    <n v="67.05"/>
    <n v="0"/>
    <n v="67.05"/>
    <n v="13.69"/>
    <x v="0"/>
  </r>
  <r>
    <s v="ORD-10840"/>
    <x v="495"/>
    <s v="Lisa Lee"/>
    <x v="2"/>
    <s v="Polo Shirt"/>
    <x v="3"/>
    <n v="4"/>
    <n v="84.26"/>
    <n v="10"/>
    <n v="303.33999999999997"/>
    <n v="129.85"/>
    <x v="1"/>
  </r>
  <r>
    <s v="ORD-10841"/>
    <x v="134"/>
    <s v="Donald Harris"/>
    <x v="3"/>
    <s v="Tennis Balls"/>
    <x v="4"/>
    <n v="4"/>
    <n v="41.59"/>
    <n v="20"/>
    <n v="133.09"/>
    <n v="32.380000000000003"/>
    <x v="0"/>
  </r>
  <r>
    <s v="ORD-10842"/>
    <x v="496"/>
    <s v="Matthew Wilson"/>
    <x v="2"/>
    <s v="Casual Sneakers"/>
    <x v="3"/>
    <n v="1"/>
    <n v="37.76"/>
    <n v="0"/>
    <n v="37.76"/>
    <n v="15.02"/>
    <x v="0"/>
  </r>
  <r>
    <s v="ORD-10843"/>
    <x v="49"/>
    <s v="Carol Wilson"/>
    <x v="4"/>
    <s v="Nail Polish Set"/>
    <x v="1"/>
    <n v="2"/>
    <n v="8.43"/>
    <n v="20"/>
    <n v="13.49"/>
    <n v="8.34"/>
    <x v="2"/>
  </r>
  <r>
    <s v="ORD-10844"/>
    <x v="480"/>
    <s v="Matthew Sanchez"/>
    <x v="2"/>
    <s v="Eye Cream"/>
    <x v="1"/>
    <n v="1"/>
    <n v="25.96"/>
    <n v="0"/>
    <n v="25.96"/>
    <n v="15.97"/>
    <x v="2"/>
  </r>
  <r>
    <s v="ORD-10845"/>
    <x v="422"/>
    <s v="Kenneth Williams"/>
    <x v="2"/>
    <s v="Body Lotion"/>
    <x v="1"/>
    <n v="1"/>
    <n v="45.25"/>
    <n v="10"/>
    <n v="40.729999999999997"/>
    <n v="17.760000000000002"/>
    <x v="1"/>
  </r>
  <r>
    <s v="ORD-10846"/>
    <x v="418"/>
    <s v="Michelle Clark"/>
    <x v="0"/>
    <s v="Knife Set"/>
    <x v="2"/>
    <n v="3"/>
    <n v="31.43"/>
    <n v="20"/>
    <n v="75.430000000000007"/>
    <n v="26.74"/>
    <x v="1"/>
  </r>
  <r>
    <s v="ORD-10847"/>
    <x v="52"/>
    <s v="Daniel Ramirez"/>
    <x v="1"/>
    <s v="Perfume Travel"/>
    <x v="1"/>
    <n v="2"/>
    <n v="42.12"/>
    <n v="0"/>
    <n v="84.24"/>
    <n v="36.6"/>
    <x v="0"/>
  </r>
  <r>
    <s v="ORD-10848"/>
    <x v="58"/>
    <s v="Michelle Williams"/>
    <x v="1"/>
    <s v="Body Lotion"/>
    <x v="1"/>
    <n v="1"/>
    <n v="15.92"/>
    <n v="10"/>
    <n v="14.33"/>
    <n v="6.96"/>
    <x v="0"/>
  </r>
  <r>
    <s v="ORD-10849"/>
    <x v="437"/>
    <s v="Joseph Brown"/>
    <x v="0"/>
    <s v="Eye Cream"/>
    <x v="1"/>
    <n v="2"/>
    <n v="29.89"/>
    <n v="0"/>
    <n v="59.78"/>
    <n v="30.14"/>
    <x v="0"/>
  </r>
  <r>
    <s v="ORD-10850"/>
    <x v="414"/>
    <s v="Betty Martinez"/>
    <x v="0"/>
    <s v="Resistance Bands"/>
    <x v="4"/>
    <n v="1"/>
    <n v="30.13"/>
    <n v="10"/>
    <n v="27.12"/>
    <n v="9.3699999999999992"/>
    <x v="0"/>
  </r>
  <r>
    <s v="ORD-10851"/>
    <x v="236"/>
    <s v="Kimberly Smith"/>
    <x v="3"/>
    <s v="Laptop Stand"/>
    <x v="0"/>
    <n v="3"/>
    <n v="94.51"/>
    <n v="15"/>
    <n v="241"/>
    <n v="49.09"/>
    <x v="0"/>
  </r>
  <r>
    <s v="ORD-10852"/>
    <x v="215"/>
    <s v="Linda Wilson"/>
    <x v="0"/>
    <s v="Denim Jacket"/>
    <x v="3"/>
    <n v="2"/>
    <n v="45.63"/>
    <n v="0"/>
    <n v="91.26"/>
    <n v="33.31"/>
    <x v="2"/>
  </r>
  <r>
    <s v="ORD-10853"/>
    <x v="497"/>
    <s v="Betty Rodriguez"/>
    <x v="1"/>
    <s v="Eye Cream"/>
    <x v="1"/>
    <n v="3"/>
    <n v="11.33"/>
    <n v="5"/>
    <n v="32.29"/>
    <n v="16.54"/>
    <x v="0"/>
  </r>
  <r>
    <s v="ORD-10854"/>
    <x v="487"/>
    <s v="William Wilson"/>
    <x v="4"/>
    <s v="Casual Sneakers"/>
    <x v="3"/>
    <n v="1"/>
    <n v="47.82"/>
    <n v="20"/>
    <n v="38.26"/>
    <n v="12.34"/>
    <x v="2"/>
  </r>
  <r>
    <s v="ORD-10855"/>
    <x v="165"/>
    <s v="Elizabeth Taylor"/>
    <x v="2"/>
    <s v="Keyboard Mechanical"/>
    <x v="0"/>
    <n v="1"/>
    <n v="85.01"/>
    <n v="10"/>
    <n v="76.510000000000005"/>
    <n v="6.61"/>
    <x v="1"/>
  </r>
  <r>
    <s v="ORD-10856"/>
    <x v="101"/>
    <s v="Betty Sanchez"/>
    <x v="4"/>
    <s v="Swim Goggles"/>
    <x v="4"/>
    <n v="1"/>
    <n v="48.05"/>
    <n v="5"/>
    <n v="45.65"/>
    <n v="15.89"/>
    <x v="1"/>
  </r>
  <r>
    <s v="ORD-10857"/>
    <x v="388"/>
    <s v="Kenneth White"/>
    <x v="3"/>
    <s v="Pillow Set"/>
    <x v="2"/>
    <n v="1"/>
    <n v="16.079999999999998"/>
    <n v="0"/>
    <n v="16.079999999999998"/>
    <n v="6.21"/>
    <x v="0"/>
  </r>
  <r>
    <s v="ORD-10858"/>
    <x v="498"/>
    <s v="Elizabeth Davis"/>
    <x v="0"/>
    <s v="Blender"/>
    <x v="2"/>
    <n v="1"/>
    <n v="40.950000000000003"/>
    <n v="0"/>
    <n v="40.950000000000003"/>
    <n v="10.32"/>
    <x v="0"/>
  </r>
  <r>
    <s v="ORD-10859"/>
    <x v="499"/>
    <s v="Kenneth Anderson"/>
    <x v="2"/>
    <s v="Storage Bins"/>
    <x v="2"/>
    <n v="1"/>
    <n v="31.03"/>
    <n v="0"/>
    <n v="31.03"/>
    <n v="11.58"/>
    <x v="1"/>
  </r>
  <r>
    <s v="ORD-10860"/>
    <x v="108"/>
    <s v="Sarah Hernandez"/>
    <x v="2"/>
    <s v="Coffee Maker"/>
    <x v="2"/>
    <n v="4"/>
    <n v="63.52"/>
    <n v="0"/>
    <n v="254.08"/>
    <n v="82.86"/>
    <x v="0"/>
  </r>
  <r>
    <s v="ORD-10861"/>
    <x v="352"/>
    <s v="Richard Lee"/>
    <x v="0"/>
    <s v="Blender"/>
    <x v="2"/>
    <n v="3"/>
    <n v="71.64"/>
    <n v="10"/>
    <n v="193.43"/>
    <n v="59.52"/>
    <x v="0"/>
  </r>
  <r>
    <s v="ORD-10862"/>
    <x v="14"/>
    <s v="Michael Martinez"/>
    <x v="4"/>
    <s v="Wireless Headphones"/>
    <x v="0"/>
    <n v="1"/>
    <n v="147.01"/>
    <n v="15"/>
    <n v="124.96"/>
    <n v="20.96"/>
    <x v="0"/>
  </r>
  <r>
    <s v="ORD-10863"/>
    <x v="287"/>
    <s v="Sandra Perez"/>
    <x v="1"/>
    <s v="Desk Lamp"/>
    <x v="2"/>
    <n v="1"/>
    <n v="19.309999999999999"/>
    <n v="25"/>
    <n v="14.48"/>
    <n v="4.08"/>
    <x v="0"/>
  </r>
  <r>
    <s v="ORD-10864"/>
    <x v="300"/>
    <s v="Daniel Thomas"/>
    <x v="3"/>
    <s v="Pillow Set"/>
    <x v="2"/>
    <n v="2"/>
    <n v="48.41"/>
    <n v="0"/>
    <n v="96.82"/>
    <n v="26.99"/>
    <x v="2"/>
  </r>
  <r>
    <s v="ORD-10865"/>
    <x v="500"/>
    <s v="Paul Lee"/>
    <x v="0"/>
    <s v="Water Bottle"/>
    <x v="4"/>
    <n v="2"/>
    <n v="28.26"/>
    <n v="0"/>
    <n v="56.52"/>
    <n v="12.9"/>
    <x v="0"/>
  </r>
  <r>
    <s v="ORD-10866"/>
    <x v="471"/>
    <s v="Karen Martinez"/>
    <x v="0"/>
    <s v="Pillow Set"/>
    <x v="2"/>
    <n v="1"/>
    <n v="51.75"/>
    <n v="0"/>
    <n v="51.75"/>
    <n v="19.93"/>
    <x v="0"/>
  </r>
  <r>
    <s v="ORD-10867"/>
    <x v="501"/>
    <s v="Ashley Martin"/>
    <x v="3"/>
    <s v="Body Lotion"/>
    <x v="1"/>
    <n v="4"/>
    <n v="38.869999999999997"/>
    <n v="25"/>
    <n v="116.61"/>
    <n v="72.48"/>
    <x v="0"/>
  </r>
  <r>
    <s v="ORD-10868"/>
    <x v="197"/>
    <s v="Jessica Smith"/>
    <x v="2"/>
    <s v="Athletic Socks"/>
    <x v="3"/>
    <n v="2"/>
    <n v="47.59"/>
    <n v="10"/>
    <n v="85.66"/>
    <n v="32.18"/>
    <x v="0"/>
  </r>
  <r>
    <s v="ORD-10869"/>
    <x v="502"/>
    <s v="Anthony Harris"/>
    <x v="2"/>
    <s v="Scented Candle Set"/>
    <x v="2"/>
    <n v="1"/>
    <n v="30.83"/>
    <n v="10"/>
    <n v="27.75"/>
    <n v="6.76"/>
    <x v="0"/>
  </r>
  <r>
    <s v="ORD-10870"/>
    <x v="49"/>
    <s v="Karen Martinez"/>
    <x v="1"/>
    <s v="Hair Oil"/>
    <x v="1"/>
    <n v="3"/>
    <n v="34.840000000000003"/>
    <n v="15"/>
    <n v="88.84"/>
    <n v="52.05"/>
    <x v="0"/>
  </r>
  <r>
    <s v="ORD-10871"/>
    <x v="58"/>
    <s v="Kimberly Thomas"/>
    <x v="0"/>
    <s v="Jump Rope"/>
    <x v="4"/>
    <n v="4"/>
    <n v="57"/>
    <n v="0"/>
    <n v="228"/>
    <n v="63.25"/>
    <x v="0"/>
  </r>
  <r>
    <s v="ORD-10872"/>
    <x v="411"/>
    <s v="Joseph Robinson"/>
    <x v="3"/>
    <s v="Shampoo Organic"/>
    <x v="1"/>
    <n v="1"/>
    <n v="30.72"/>
    <n v="5"/>
    <n v="29.18"/>
    <n v="17.04"/>
    <x v="1"/>
  </r>
  <r>
    <s v="ORD-10873"/>
    <x v="503"/>
    <s v="David Davis"/>
    <x v="4"/>
    <s v="Face Mask Pack"/>
    <x v="1"/>
    <n v="1"/>
    <n v="26.28"/>
    <n v="0"/>
    <n v="26.28"/>
    <n v="12.17"/>
    <x v="1"/>
  </r>
  <r>
    <s v="ORD-10874"/>
    <x v="309"/>
    <s v="Michelle Jackson"/>
    <x v="2"/>
    <s v="Throw Blanket"/>
    <x v="2"/>
    <n v="2"/>
    <n v="26.03"/>
    <n v="0"/>
    <n v="52.06"/>
    <n v="12.1"/>
    <x v="1"/>
  </r>
  <r>
    <s v="ORD-10875"/>
    <x v="324"/>
    <s v="Robert White"/>
    <x v="4"/>
    <s v="Dumbbells 10lb"/>
    <x v="4"/>
    <n v="2"/>
    <n v="29.26"/>
    <n v="5"/>
    <n v="55.59"/>
    <n v="16.04"/>
    <x v="0"/>
  </r>
  <r>
    <s v="ORD-10876"/>
    <x v="504"/>
    <s v="Joshua Smith"/>
    <x v="0"/>
    <s v="Coffee Maker"/>
    <x v="2"/>
    <n v="2"/>
    <n v="36.26"/>
    <n v="0"/>
    <n v="72.52"/>
    <n v="25.01"/>
    <x v="1"/>
  </r>
  <r>
    <s v="ORD-10877"/>
    <x v="318"/>
    <s v="Jessica Robinson"/>
    <x v="3"/>
    <s v="Webcam HD"/>
    <x v="0"/>
    <n v="2"/>
    <n v="99.93"/>
    <n v="10"/>
    <n v="179.87"/>
    <n v="39.340000000000003"/>
    <x v="1"/>
  </r>
  <r>
    <s v="ORD-10878"/>
    <x v="505"/>
    <s v="Mary Ramirez"/>
    <x v="0"/>
    <s v="Eye Cream"/>
    <x v="1"/>
    <n v="3"/>
    <n v="47.21"/>
    <n v="10"/>
    <n v="127.47"/>
    <n v="71.66"/>
    <x v="0"/>
  </r>
  <r>
    <s v="ORD-10879"/>
    <x v="229"/>
    <s v="Kevin Martin"/>
    <x v="4"/>
    <s v="Cargo Shorts"/>
    <x v="3"/>
    <n v="1"/>
    <n v="84.93"/>
    <n v="15"/>
    <n v="72.19"/>
    <n v="37.94"/>
    <x v="1"/>
  </r>
  <r>
    <s v="ORD-10880"/>
    <x v="129"/>
    <s v="Daniel Lee"/>
    <x v="4"/>
    <s v="Knife Set"/>
    <x v="2"/>
    <n v="2"/>
    <n v="18.32"/>
    <n v="25"/>
    <n v="27.48"/>
    <n v="6.24"/>
    <x v="1"/>
  </r>
  <r>
    <s v="ORD-10881"/>
    <x v="73"/>
    <s v="Sarah Taylor"/>
    <x v="4"/>
    <s v="Face Mask Pack"/>
    <x v="1"/>
    <n v="3"/>
    <n v="12.27"/>
    <n v="0"/>
    <n v="36.81"/>
    <n v="20.04"/>
    <x v="0"/>
  </r>
  <r>
    <s v="ORD-10882"/>
    <x v="357"/>
    <s v="Karen Clark"/>
    <x v="1"/>
    <s v="Door Mat"/>
    <x v="2"/>
    <n v="2"/>
    <n v="15.53"/>
    <n v="25"/>
    <n v="23.3"/>
    <n v="6.91"/>
    <x v="0"/>
  </r>
  <r>
    <s v="ORD-10883"/>
    <x v="506"/>
    <s v="Lisa Hernandez"/>
    <x v="1"/>
    <s v="Tablet Case"/>
    <x v="0"/>
    <n v="5"/>
    <n v="88.62"/>
    <n v="5"/>
    <n v="420.95"/>
    <n v="73.680000000000007"/>
    <x v="1"/>
  </r>
  <r>
    <s v="ORD-10884"/>
    <x v="239"/>
    <s v="James Robinson"/>
    <x v="0"/>
    <s v="Knife Set"/>
    <x v="2"/>
    <n v="2"/>
    <n v="14.11"/>
    <n v="10"/>
    <n v="25.4"/>
    <n v="7.45"/>
    <x v="1"/>
  </r>
  <r>
    <s v="ORD-10885"/>
    <x v="223"/>
    <s v="Sarah Harris"/>
    <x v="0"/>
    <s v="Webcam HD"/>
    <x v="0"/>
    <n v="1"/>
    <n v="125.09"/>
    <n v="0"/>
    <n v="125.09"/>
    <n v="22.6"/>
    <x v="1"/>
  </r>
  <r>
    <s v="ORD-10886"/>
    <x v="456"/>
    <s v="Robert Harris"/>
    <x v="0"/>
    <s v="Hair Oil"/>
    <x v="1"/>
    <n v="1"/>
    <n v="12.31"/>
    <n v="10"/>
    <n v="11.08"/>
    <n v="4.68"/>
    <x v="2"/>
  </r>
  <r>
    <s v="ORD-10887"/>
    <x v="25"/>
    <s v="Anthony Harris"/>
    <x v="1"/>
    <s v="Cargo Shorts"/>
    <x v="3"/>
    <n v="4"/>
    <n v="85.61"/>
    <n v="0"/>
    <n v="342.44"/>
    <n v="166.62"/>
    <x v="0"/>
  </r>
  <r>
    <s v="ORD-10888"/>
    <x v="507"/>
    <s v="Jessica Jackson"/>
    <x v="1"/>
    <s v="Athletic Socks"/>
    <x v="3"/>
    <n v="2"/>
    <n v="36.92"/>
    <n v="10"/>
    <n v="66.459999999999994"/>
    <n v="30.99"/>
    <x v="1"/>
  </r>
  <r>
    <s v="ORD-10889"/>
    <x v="123"/>
    <s v="Michael Brown"/>
    <x v="1"/>
    <s v="Hair Oil"/>
    <x v="1"/>
    <n v="1"/>
    <n v="10.56"/>
    <n v="10"/>
    <n v="9.5"/>
    <n v="4.8499999999999996"/>
    <x v="0"/>
  </r>
  <r>
    <s v="ORD-10890"/>
    <x v="508"/>
    <s v="Andrew Ramirez"/>
    <x v="2"/>
    <s v="Pillow Set"/>
    <x v="2"/>
    <n v="4"/>
    <n v="59.7"/>
    <n v="25"/>
    <n v="179.1"/>
    <n v="60.4"/>
    <x v="0"/>
  </r>
  <r>
    <s v="ORD-10891"/>
    <x v="367"/>
    <s v="Andrew Jones"/>
    <x v="1"/>
    <s v="Wireless Headphones"/>
    <x v="0"/>
    <n v="1"/>
    <n v="117.29"/>
    <n v="10"/>
    <n v="105.56"/>
    <n v="25.07"/>
    <x v="0"/>
  </r>
  <r>
    <s v="ORD-10892"/>
    <x v="509"/>
    <s v="Robert Taylor"/>
    <x v="3"/>
    <s v="Cotton T-Shirt"/>
    <x v="3"/>
    <n v="1"/>
    <n v="57.81"/>
    <n v="5"/>
    <n v="54.92"/>
    <n v="20.77"/>
    <x v="0"/>
  </r>
  <r>
    <s v="ORD-10893"/>
    <x v="108"/>
    <s v="James Garcia"/>
    <x v="1"/>
    <s v="Throw Blanket"/>
    <x v="2"/>
    <n v="2"/>
    <n v="75.569999999999993"/>
    <n v="10"/>
    <n v="136.03"/>
    <n v="30.43"/>
    <x v="0"/>
  </r>
  <r>
    <s v="ORD-10894"/>
    <x v="389"/>
    <s v="Robert Hernandez"/>
    <x v="2"/>
    <s v="Running Shoes"/>
    <x v="3"/>
    <n v="2"/>
    <n v="48.93"/>
    <n v="25"/>
    <n v="73.400000000000006"/>
    <n v="28.94"/>
    <x v="1"/>
  </r>
  <r>
    <s v="ORD-10895"/>
    <x v="264"/>
    <s v="Michael Jackson"/>
    <x v="2"/>
    <s v="Face Mask Pack"/>
    <x v="1"/>
    <n v="2"/>
    <n v="22.99"/>
    <n v="5"/>
    <n v="43.68"/>
    <n v="27.9"/>
    <x v="0"/>
  </r>
  <r>
    <s v="ORD-10896"/>
    <x v="99"/>
    <s v="Christopher Wilson"/>
    <x v="1"/>
    <s v="Polo Shirt"/>
    <x v="3"/>
    <n v="1"/>
    <n v="86.97"/>
    <n v="0"/>
    <n v="86.97"/>
    <n v="40.98"/>
    <x v="1"/>
  </r>
  <r>
    <s v="ORD-10897"/>
    <x v="510"/>
    <s v="Carol Ramirez"/>
    <x v="2"/>
    <s v="Portable Charger"/>
    <x v="0"/>
    <n v="1"/>
    <n v="148.13"/>
    <n v="0"/>
    <n v="148.13"/>
    <n v="27.32"/>
    <x v="0"/>
  </r>
  <r>
    <s v="ORD-10898"/>
    <x v="464"/>
    <s v="Anthony Miller"/>
    <x v="0"/>
    <s v="Portable Charger"/>
    <x v="0"/>
    <n v="1"/>
    <n v="146.01"/>
    <n v="0"/>
    <n v="146.01"/>
    <n v="20.14"/>
    <x v="0"/>
  </r>
  <r>
    <s v="ORD-10899"/>
    <x v="295"/>
    <s v="Jennifer Davis"/>
    <x v="4"/>
    <s v="Storage Bins"/>
    <x v="2"/>
    <n v="2"/>
    <n v="39.549999999999997"/>
    <n v="5"/>
    <n v="75.150000000000006"/>
    <n v="20.29"/>
    <x v="0"/>
  </r>
  <r>
    <s v="ORD-10900"/>
    <x v="511"/>
    <s v="Barbara Brown"/>
    <x v="1"/>
    <s v="Tablet Case"/>
    <x v="0"/>
    <n v="2"/>
    <n v="137.69"/>
    <n v="5"/>
    <n v="261.61"/>
    <n v="50.26"/>
    <x v="1"/>
  </r>
  <r>
    <s v="ORD-10901"/>
    <x v="467"/>
    <s v="Mary Moore"/>
    <x v="4"/>
    <s v="Face Moisturizer"/>
    <x v="1"/>
    <n v="1"/>
    <n v="26.72"/>
    <n v="0"/>
    <n v="26.72"/>
    <n v="16.86"/>
    <x v="1"/>
  </r>
  <r>
    <s v="ORD-10902"/>
    <x v="512"/>
    <s v="Susan Lopez"/>
    <x v="1"/>
    <s v="Running Shoes"/>
    <x v="3"/>
    <n v="1"/>
    <n v="44.4"/>
    <n v="25"/>
    <n v="33.299999999999997"/>
    <n v="14.21"/>
    <x v="2"/>
  </r>
  <r>
    <s v="ORD-10903"/>
    <x v="513"/>
    <s v="Susan Williams"/>
    <x v="1"/>
    <s v="Throw Blanket"/>
    <x v="2"/>
    <n v="4"/>
    <n v="55.37"/>
    <n v="5"/>
    <n v="210.41"/>
    <n v="46.75"/>
    <x v="2"/>
  </r>
  <r>
    <s v="ORD-10904"/>
    <x v="337"/>
    <s v="Mary Brown"/>
    <x v="0"/>
    <s v="Lip Balm Set"/>
    <x v="1"/>
    <n v="1"/>
    <n v="8.67"/>
    <n v="0"/>
    <n v="8.67"/>
    <n v="3.91"/>
    <x v="0"/>
  </r>
  <r>
    <s v="ORD-10905"/>
    <x v="514"/>
    <s v="Anthony Anderson"/>
    <x v="1"/>
    <s v="Bluetooth Speaker"/>
    <x v="0"/>
    <n v="1"/>
    <n v="56.73"/>
    <n v="0"/>
    <n v="56.73"/>
    <n v="4.9800000000000004"/>
    <x v="0"/>
  </r>
  <r>
    <s v="ORD-10906"/>
    <x v="493"/>
    <s v="Robert Ramirez"/>
    <x v="2"/>
    <s v="Throw Blanket"/>
    <x v="2"/>
    <n v="2"/>
    <n v="14.51"/>
    <n v="0"/>
    <n v="29.02"/>
    <n v="10.83"/>
    <x v="1"/>
  </r>
  <r>
    <s v="ORD-10907"/>
    <x v="515"/>
    <s v="William Rodriguez"/>
    <x v="4"/>
    <s v="Rain Jacket"/>
    <x v="3"/>
    <n v="1"/>
    <n v="56.18"/>
    <n v="10"/>
    <n v="50.56"/>
    <n v="25.44"/>
    <x v="0"/>
  </r>
  <r>
    <s v="ORD-10908"/>
    <x v="503"/>
    <s v="Carol Perez"/>
    <x v="2"/>
    <s v="Shampoo Organic"/>
    <x v="1"/>
    <n v="1"/>
    <n v="31.59"/>
    <n v="15"/>
    <n v="26.85"/>
    <n v="14.3"/>
    <x v="0"/>
  </r>
  <r>
    <s v="ORD-10909"/>
    <x v="94"/>
    <s v="Michael Williams"/>
    <x v="0"/>
    <s v="Door Mat"/>
    <x v="2"/>
    <n v="4"/>
    <n v="14.76"/>
    <n v="5"/>
    <n v="56.09"/>
    <n v="14.23"/>
    <x v="1"/>
  </r>
  <r>
    <s v="ORD-10910"/>
    <x v="199"/>
    <s v="Lisa Thomas"/>
    <x v="1"/>
    <s v="Cotton T-Shirt"/>
    <x v="3"/>
    <n v="2"/>
    <n v="24.18"/>
    <n v="0"/>
    <n v="48.36"/>
    <n v="24.2"/>
    <x v="0"/>
  </r>
  <r>
    <s v="ORD-10911"/>
    <x v="145"/>
    <s v="Joshua Clark"/>
    <x v="3"/>
    <s v="Polo Shirt"/>
    <x v="3"/>
    <n v="5"/>
    <n v="39.28"/>
    <n v="0"/>
    <n v="196.4"/>
    <n v="74.62"/>
    <x v="0"/>
  </r>
  <r>
    <s v="ORD-10912"/>
    <x v="516"/>
    <s v="Joseph Ramirez"/>
    <x v="4"/>
    <s v="Nail Polish Set"/>
    <x v="1"/>
    <n v="2"/>
    <n v="47"/>
    <n v="10"/>
    <n v="84.6"/>
    <n v="42.42"/>
    <x v="1"/>
  </r>
  <r>
    <s v="ORD-10913"/>
    <x v="2"/>
    <s v="Nancy Miller"/>
    <x v="1"/>
    <s v="Cargo Shorts"/>
    <x v="3"/>
    <n v="1"/>
    <n v="59.95"/>
    <n v="0"/>
    <n v="59.95"/>
    <n v="19.41"/>
    <x v="0"/>
  </r>
  <r>
    <s v="ORD-10914"/>
    <x v="255"/>
    <s v="Donald Smith"/>
    <x v="2"/>
    <s v="Webcam HD"/>
    <x v="0"/>
    <n v="1"/>
    <n v="100.49"/>
    <n v="5"/>
    <n v="95.47"/>
    <n v="20.98"/>
    <x v="0"/>
  </r>
  <r>
    <s v="ORD-10915"/>
    <x v="517"/>
    <s v="Jessica Robinson"/>
    <x v="4"/>
    <s v="Keyboard Mechanical"/>
    <x v="0"/>
    <n v="1"/>
    <n v="27.08"/>
    <n v="10"/>
    <n v="24.37"/>
    <n v="4.58"/>
    <x v="1"/>
  </r>
  <r>
    <s v="ORD-10916"/>
    <x v="332"/>
    <s v="Carol Thompson"/>
    <x v="1"/>
    <s v="Cutting Board"/>
    <x v="2"/>
    <n v="2"/>
    <n v="24.48"/>
    <n v="10"/>
    <n v="44.06"/>
    <n v="12.67"/>
    <x v="0"/>
  </r>
  <r>
    <s v="ORD-10917"/>
    <x v="380"/>
    <s v="Sandra Perez"/>
    <x v="4"/>
    <s v="Storage Bins"/>
    <x v="2"/>
    <n v="1"/>
    <n v="18.829999999999998"/>
    <n v="15"/>
    <n v="16.010000000000002"/>
    <n v="3.32"/>
    <x v="1"/>
  </r>
  <r>
    <s v="ORD-10918"/>
    <x v="518"/>
    <s v="Richard White"/>
    <x v="3"/>
    <s v="Knife Set"/>
    <x v="2"/>
    <n v="2"/>
    <n v="31.72"/>
    <n v="0"/>
    <n v="63.44"/>
    <n v="13.19"/>
    <x v="0"/>
  </r>
  <r>
    <s v="ORD-10919"/>
    <x v="508"/>
    <s v="Lisa Clark"/>
    <x v="3"/>
    <s v="Desk Lamp"/>
    <x v="2"/>
    <n v="1"/>
    <n v="75.89"/>
    <n v="0"/>
    <n v="75.89"/>
    <n v="17.57"/>
    <x v="1"/>
  </r>
  <r>
    <s v="ORD-10920"/>
    <x v="81"/>
    <s v="Sandra Anderson"/>
    <x v="3"/>
    <s v="Portable Charger"/>
    <x v="0"/>
    <n v="2"/>
    <n v="74.16"/>
    <n v="5"/>
    <n v="140.9"/>
    <n v="27.9"/>
    <x v="2"/>
  </r>
  <r>
    <s v="ORD-10921"/>
    <x v="378"/>
    <s v="Richard Miller"/>
    <x v="3"/>
    <s v="Hair Oil"/>
    <x v="1"/>
    <n v="1"/>
    <n v="46.41"/>
    <n v="15"/>
    <n v="39.450000000000003"/>
    <n v="22.39"/>
    <x v="0"/>
  </r>
  <r>
    <s v="ORD-10922"/>
    <x v="141"/>
    <s v="Paul Clark"/>
    <x v="0"/>
    <s v="Blender"/>
    <x v="2"/>
    <n v="1"/>
    <n v="41.97"/>
    <n v="0"/>
    <n v="41.97"/>
    <n v="13.93"/>
    <x v="0"/>
  </r>
  <r>
    <s v="ORD-10923"/>
    <x v="326"/>
    <s v="Andrew Martinez"/>
    <x v="1"/>
    <s v="Bluetooth Speaker"/>
    <x v="0"/>
    <n v="2"/>
    <n v="56.63"/>
    <n v="20"/>
    <n v="90.61"/>
    <n v="17.149999999999999"/>
    <x v="1"/>
  </r>
  <r>
    <s v="ORD-10924"/>
    <x v="123"/>
    <s v="Ashley Brown"/>
    <x v="1"/>
    <s v="Perfume Travel"/>
    <x v="1"/>
    <n v="3"/>
    <n v="23.9"/>
    <n v="10"/>
    <n v="64.53"/>
    <n v="41.57"/>
    <x v="0"/>
  </r>
  <r>
    <s v="ORD-10925"/>
    <x v="143"/>
    <s v="Joseph Garcia"/>
    <x v="3"/>
    <s v="Rain Jacket"/>
    <x v="3"/>
    <n v="2"/>
    <n v="63.15"/>
    <n v="0"/>
    <n v="126.3"/>
    <n v="65.33"/>
    <x v="0"/>
  </r>
  <r>
    <s v="ORD-10926"/>
    <x v="135"/>
    <s v="Daniel Sanchez"/>
    <x v="1"/>
    <s v="Resistance Bands"/>
    <x v="4"/>
    <n v="1"/>
    <n v="56.95"/>
    <n v="0"/>
    <n v="56.95"/>
    <n v="10.48"/>
    <x v="0"/>
  </r>
  <r>
    <s v="ORD-10927"/>
    <x v="0"/>
    <s v="Thomas Davis"/>
    <x v="3"/>
    <s v="Desk Lamp"/>
    <x v="2"/>
    <n v="5"/>
    <n v="16.48"/>
    <n v="5"/>
    <n v="78.28"/>
    <n v="19.61"/>
    <x v="1"/>
  </r>
  <r>
    <s v="ORD-10928"/>
    <x v="5"/>
    <s v="William Perez"/>
    <x v="1"/>
    <s v="Lip Balm Set"/>
    <x v="1"/>
    <n v="1"/>
    <n v="46.85"/>
    <n v="0"/>
    <n v="46.85"/>
    <n v="19.309999999999999"/>
    <x v="2"/>
  </r>
  <r>
    <s v="ORD-10929"/>
    <x v="17"/>
    <s v="Joseph Martin"/>
    <x v="1"/>
    <s v="Cargo Shorts"/>
    <x v="3"/>
    <n v="2"/>
    <n v="38.06"/>
    <n v="0"/>
    <n v="76.12"/>
    <n v="33.340000000000003"/>
    <x v="0"/>
  </r>
  <r>
    <s v="ORD-10930"/>
    <x v="255"/>
    <s v="Jennifer Davis"/>
    <x v="1"/>
    <s v="Polo Shirt"/>
    <x v="3"/>
    <n v="2"/>
    <n v="88.54"/>
    <n v="15"/>
    <n v="150.52000000000001"/>
    <n v="76.930000000000007"/>
    <x v="1"/>
  </r>
  <r>
    <s v="ORD-10931"/>
    <x v="489"/>
    <s v="Joseph Anderson"/>
    <x v="3"/>
    <s v="Mouse Wireless"/>
    <x v="0"/>
    <n v="3"/>
    <n v="125.39"/>
    <n v="20"/>
    <n v="300.94"/>
    <n v="37.86"/>
    <x v="0"/>
  </r>
  <r>
    <s v="ORD-10932"/>
    <x v="123"/>
    <s v="David Sanchez"/>
    <x v="3"/>
    <s v="Laptop Stand"/>
    <x v="0"/>
    <n v="3"/>
    <n v="34.75"/>
    <n v="20"/>
    <n v="83.4"/>
    <n v="14.66"/>
    <x v="0"/>
  </r>
  <r>
    <s v="ORD-10933"/>
    <x v="180"/>
    <s v="Elizabeth Rodriguez"/>
    <x v="2"/>
    <s v="Yoga Mat"/>
    <x v="4"/>
    <n v="2"/>
    <n v="20.71"/>
    <n v="15"/>
    <n v="35.21"/>
    <n v="7.72"/>
    <x v="1"/>
  </r>
  <r>
    <s v="ORD-10934"/>
    <x v="438"/>
    <s v="Susan Thomas"/>
    <x v="4"/>
    <s v="Face Mask Pack"/>
    <x v="1"/>
    <n v="1"/>
    <n v="7.57"/>
    <n v="15"/>
    <n v="6.43"/>
    <n v="3.44"/>
    <x v="1"/>
  </r>
  <r>
    <s v="ORD-10935"/>
    <x v="153"/>
    <s v="Lisa Perez"/>
    <x v="2"/>
    <s v="Perfume Travel"/>
    <x v="1"/>
    <n v="2"/>
    <n v="31.62"/>
    <n v="25"/>
    <n v="47.43"/>
    <n v="28.41"/>
    <x v="1"/>
  </r>
  <r>
    <s v="ORD-10936"/>
    <x v="519"/>
    <s v="Richard Sanchez"/>
    <x v="2"/>
    <s v="Portable Charger"/>
    <x v="0"/>
    <n v="2"/>
    <n v="106.47"/>
    <n v="10"/>
    <n v="191.65"/>
    <n v="17.739999999999998"/>
    <x v="0"/>
  </r>
  <r>
    <s v="ORD-10937"/>
    <x v="10"/>
    <s v="Robert Anderson"/>
    <x v="1"/>
    <s v="Tablet Case"/>
    <x v="0"/>
    <n v="3"/>
    <n v="110.46"/>
    <n v="0"/>
    <n v="331.38"/>
    <n v="65.77"/>
    <x v="0"/>
  </r>
  <r>
    <s v="ORD-10938"/>
    <x v="494"/>
    <s v="Ashley Garcia"/>
    <x v="0"/>
    <s v="Coffee Maker"/>
    <x v="2"/>
    <n v="2"/>
    <n v="59.81"/>
    <n v="20"/>
    <n v="95.7"/>
    <n v="37.53"/>
    <x v="2"/>
  </r>
  <r>
    <s v="ORD-10939"/>
    <x v="3"/>
    <s v="Paul Rodriguez"/>
    <x v="4"/>
    <s v="Jump Rope"/>
    <x v="4"/>
    <n v="2"/>
    <n v="9.2200000000000006"/>
    <n v="5"/>
    <n v="17.52"/>
    <n v="5.32"/>
    <x v="1"/>
  </r>
  <r>
    <s v="ORD-10940"/>
    <x v="520"/>
    <s v="Thomas Ramirez"/>
    <x v="2"/>
    <s v="Yoga Mat"/>
    <x v="4"/>
    <n v="3"/>
    <n v="39.130000000000003"/>
    <n v="5"/>
    <n v="111.52"/>
    <n v="27.38"/>
    <x v="1"/>
  </r>
  <r>
    <s v="ORD-10941"/>
    <x v="166"/>
    <s v="Betty Brown"/>
    <x v="4"/>
    <s v="Cargo Shorts"/>
    <x v="3"/>
    <n v="2"/>
    <n v="54.14"/>
    <n v="0"/>
    <n v="108.28"/>
    <n v="43.23"/>
    <x v="0"/>
  </r>
  <r>
    <s v="ORD-10942"/>
    <x v="196"/>
    <s v="Joseph Gonzalez"/>
    <x v="3"/>
    <s v="Wireless Headphones"/>
    <x v="0"/>
    <n v="2"/>
    <n v="86.54"/>
    <n v="0"/>
    <n v="173.08"/>
    <n v="36.49"/>
    <x v="0"/>
  </r>
  <r>
    <s v="ORD-10943"/>
    <x v="521"/>
    <s v="David Thompson"/>
    <x v="1"/>
    <s v="Smart Watch"/>
    <x v="0"/>
    <n v="2"/>
    <n v="29.6"/>
    <n v="0"/>
    <n v="59.2"/>
    <n v="10.69"/>
    <x v="0"/>
  </r>
  <r>
    <s v="ORD-10944"/>
    <x v="207"/>
    <s v="Robert Moore"/>
    <x v="1"/>
    <s v="Cotton T-Shirt"/>
    <x v="3"/>
    <n v="1"/>
    <n v="67.5"/>
    <n v="0"/>
    <n v="67.5"/>
    <n v="22.48"/>
    <x v="0"/>
  </r>
  <r>
    <s v="ORD-10945"/>
    <x v="17"/>
    <s v="Lisa Lopez"/>
    <x v="4"/>
    <s v="Cotton T-Shirt"/>
    <x v="3"/>
    <n v="3"/>
    <n v="47.44"/>
    <n v="5"/>
    <n v="135.19999999999999"/>
    <n v="59.6"/>
    <x v="0"/>
  </r>
  <r>
    <s v="ORD-10946"/>
    <x v="522"/>
    <s v="Andrew Lopez"/>
    <x v="3"/>
    <s v="Smart Watch"/>
    <x v="0"/>
    <n v="3"/>
    <n v="61.28"/>
    <n v="20"/>
    <n v="147.07"/>
    <n v="11.82"/>
    <x v="2"/>
  </r>
  <r>
    <s v="ORD-10947"/>
    <x v="523"/>
    <s v="Thomas Thompson"/>
    <x v="0"/>
    <s v="Sunscreen SPF50"/>
    <x v="1"/>
    <n v="3"/>
    <n v="25.85"/>
    <n v="20"/>
    <n v="62.04"/>
    <n v="25.99"/>
    <x v="0"/>
  </r>
  <r>
    <s v="ORD-10948"/>
    <x v="524"/>
    <s v="Linda Anderson"/>
    <x v="4"/>
    <s v="Wireless Headphones"/>
    <x v="0"/>
    <n v="1"/>
    <n v="146.24"/>
    <n v="15"/>
    <n v="124.3"/>
    <n v="15.45"/>
    <x v="0"/>
  </r>
  <r>
    <s v="ORD-10949"/>
    <x v="95"/>
    <s v="Thomas Ramirez"/>
    <x v="0"/>
    <s v="Scented Candle Set"/>
    <x v="2"/>
    <n v="5"/>
    <n v="16.760000000000002"/>
    <n v="5"/>
    <n v="79.61"/>
    <n v="28.86"/>
    <x v="0"/>
  </r>
  <r>
    <s v="ORD-10950"/>
    <x v="270"/>
    <s v="Susan Robinson"/>
    <x v="0"/>
    <s v="Foam Roller"/>
    <x v="4"/>
    <n v="4"/>
    <n v="39.340000000000003"/>
    <n v="20"/>
    <n v="125.89"/>
    <n v="33.26"/>
    <x v="0"/>
  </r>
  <r>
    <s v="ORD-10951"/>
    <x v="525"/>
    <s v="Sarah Robinson"/>
    <x v="4"/>
    <s v="Bluetooth Speaker"/>
    <x v="0"/>
    <n v="1"/>
    <n v="135.31"/>
    <n v="20"/>
    <n v="108.25"/>
    <n v="26.12"/>
    <x v="0"/>
  </r>
  <r>
    <s v="ORD-10952"/>
    <x v="315"/>
    <s v="Nancy Jackson"/>
    <x v="3"/>
    <s v="Wireless Headphones"/>
    <x v="0"/>
    <n v="1"/>
    <n v="115.81"/>
    <n v="20"/>
    <n v="92.65"/>
    <n v="10.94"/>
    <x v="0"/>
  </r>
  <r>
    <s v="ORD-10953"/>
    <x v="11"/>
    <s v="Kimberly Thompson"/>
    <x v="2"/>
    <s v="Athletic Socks"/>
    <x v="3"/>
    <n v="2"/>
    <n v="42.34"/>
    <n v="15"/>
    <n v="71.98"/>
    <n v="25.5"/>
    <x v="0"/>
  </r>
  <r>
    <s v="ORD-10954"/>
    <x v="84"/>
    <s v="Donna Moore"/>
    <x v="2"/>
    <s v="Door Mat"/>
    <x v="2"/>
    <n v="2"/>
    <n v="21.08"/>
    <n v="10"/>
    <n v="37.94"/>
    <n v="14.43"/>
    <x v="1"/>
  </r>
  <r>
    <s v="ORD-10955"/>
    <x v="378"/>
    <s v="Daniel White"/>
    <x v="4"/>
    <s v="Water Bottle"/>
    <x v="4"/>
    <n v="1"/>
    <n v="28.45"/>
    <n v="0"/>
    <n v="28.45"/>
    <n v="8.09"/>
    <x v="1"/>
  </r>
  <r>
    <s v="ORD-10956"/>
    <x v="323"/>
    <s v="Donald Martinez"/>
    <x v="0"/>
    <s v="Gym Bag"/>
    <x v="4"/>
    <n v="2"/>
    <n v="56.93"/>
    <n v="0"/>
    <n v="113.86"/>
    <n v="36.93"/>
    <x v="2"/>
  </r>
  <r>
    <s v="ORD-10957"/>
    <x v="488"/>
    <s v="Daniel Martin"/>
    <x v="2"/>
    <s v="Blender"/>
    <x v="2"/>
    <n v="1"/>
    <n v="71.19"/>
    <n v="15"/>
    <n v="60.51"/>
    <n v="23.91"/>
    <x v="0"/>
  </r>
  <r>
    <s v="ORD-10958"/>
    <x v="105"/>
    <s v="Jennifer Johnson"/>
    <x v="3"/>
    <s v="Polo Shirt"/>
    <x v="3"/>
    <n v="2"/>
    <n v="63.08"/>
    <n v="15"/>
    <n v="107.24"/>
    <n v="45.68"/>
    <x v="1"/>
  </r>
  <r>
    <s v="ORD-10959"/>
    <x v="28"/>
    <s v="Robert Martinez"/>
    <x v="2"/>
    <s v="Swim Goggles"/>
    <x v="4"/>
    <n v="4"/>
    <n v="49.44"/>
    <n v="0"/>
    <n v="197.76"/>
    <n v="50.24"/>
    <x v="1"/>
  </r>
  <r>
    <s v="ORD-10960"/>
    <x v="207"/>
    <s v="James Lee"/>
    <x v="1"/>
    <s v="Eye Cream"/>
    <x v="1"/>
    <n v="1"/>
    <n v="49.03"/>
    <n v="0"/>
    <n v="49.03"/>
    <n v="23.19"/>
    <x v="0"/>
  </r>
  <r>
    <s v="ORD-10961"/>
    <x v="265"/>
    <s v="Elizabeth Taylor"/>
    <x v="2"/>
    <s v="Door Mat"/>
    <x v="2"/>
    <n v="1"/>
    <n v="38.049999999999997"/>
    <n v="0"/>
    <n v="38.049999999999997"/>
    <n v="12.91"/>
    <x v="1"/>
  </r>
  <r>
    <s v="ORD-10962"/>
    <x v="430"/>
    <s v="Karen Johnson"/>
    <x v="4"/>
    <s v="Laptop Stand"/>
    <x v="0"/>
    <n v="1"/>
    <n v="50.52"/>
    <n v="5"/>
    <n v="47.99"/>
    <n v="11.89"/>
    <x v="2"/>
  </r>
  <r>
    <s v="ORD-10963"/>
    <x v="72"/>
    <s v="Mark Harris"/>
    <x v="4"/>
    <s v="Wireless Headphones"/>
    <x v="0"/>
    <n v="1"/>
    <n v="96.27"/>
    <n v="15"/>
    <n v="81.83"/>
    <n v="17.350000000000001"/>
    <x v="1"/>
  </r>
  <r>
    <s v="ORD-10964"/>
    <x v="143"/>
    <s v="Michael Clark"/>
    <x v="3"/>
    <s v="Cycling Gloves"/>
    <x v="4"/>
    <n v="2"/>
    <n v="35.26"/>
    <n v="0"/>
    <n v="70.52"/>
    <n v="13.46"/>
    <x v="0"/>
  </r>
  <r>
    <s v="ORD-10965"/>
    <x v="526"/>
    <s v="Steven Lopez"/>
    <x v="3"/>
    <s v="Lip Balm Set"/>
    <x v="1"/>
    <n v="1"/>
    <n v="38.26"/>
    <n v="5"/>
    <n v="36.35"/>
    <n v="20.54"/>
    <x v="0"/>
  </r>
  <r>
    <s v="ORD-10966"/>
    <x v="325"/>
    <s v="Matthew White"/>
    <x v="1"/>
    <s v="Cycling Gloves"/>
    <x v="4"/>
    <n v="1"/>
    <n v="8.75"/>
    <n v="0"/>
    <n v="8.75"/>
    <n v="2.4900000000000002"/>
    <x v="0"/>
  </r>
  <r>
    <s v="ORD-10967"/>
    <x v="192"/>
    <s v="Carol White"/>
    <x v="2"/>
    <s v="Cutting Board"/>
    <x v="2"/>
    <n v="4"/>
    <n v="78.569999999999993"/>
    <n v="5"/>
    <n v="298.57"/>
    <n v="68.45"/>
    <x v="0"/>
  </r>
  <r>
    <s v="ORD-10968"/>
    <x v="181"/>
    <s v="Ashley Robinson"/>
    <x v="3"/>
    <s v="Body Lotion"/>
    <x v="1"/>
    <n v="1"/>
    <n v="10.09"/>
    <n v="25"/>
    <n v="7.57"/>
    <n v="3.31"/>
    <x v="1"/>
  </r>
  <r>
    <s v="ORD-10969"/>
    <x v="406"/>
    <s v="Anthony Smith"/>
    <x v="0"/>
    <s v="Webcam HD"/>
    <x v="0"/>
    <n v="2"/>
    <n v="111.83"/>
    <n v="5"/>
    <n v="212.48"/>
    <n v="51.18"/>
    <x v="0"/>
  </r>
  <r>
    <s v="ORD-10970"/>
    <x v="10"/>
    <s v="Kimberly Wilson"/>
    <x v="4"/>
    <s v="Hair Oil"/>
    <x v="1"/>
    <n v="3"/>
    <n v="41.4"/>
    <n v="5"/>
    <n v="117.99"/>
    <n v="71.12"/>
    <x v="0"/>
  </r>
  <r>
    <s v="ORD-10971"/>
    <x v="527"/>
    <s v="Kenneth Robinson"/>
    <x v="2"/>
    <s v="Athletic Socks"/>
    <x v="3"/>
    <n v="2"/>
    <n v="63.36"/>
    <n v="10"/>
    <n v="114.05"/>
    <n v="35.049999999999997"/>
    <x v="0"/>
  </r>
  <r>
    <s v="ORD-10972"/>
    <x v="208"/>
    <s v="Andrew Thompson"/>
    <x v="1"/>
    <s v="Laptop Stand"/>
    <x v="0"/>
    <n v="3"/>
    <n v="59.34"/>
    <n v="10"/>
    <n v="160.22"/>
    <n v="28.29"/>
    <x v="0"/>
  </r>
  <r>
    <s v="ORD-10973"/>
    <x v="528"/>
    <s v="Matthew Lewis"/>
    <x v="2"/>
    <s v="Body Lotion"/>
    <x v="1"/>
    <n v="1"/>
    <n v="12.75"/>
    <n v="15"/>
    <n v="10.84"/>
    <n v="4.5599999999999996"/>
    <x v="0"/>
  </r>
  <r>
    <s v="ORD-10974"/>
    <x v="93"/>
    <s v="Kenneth Miller"/>
    <x v="0"/>
    <s v="Pillow Set"/>
    <x v="2"/>
    <n v="1"/>
    <n v="63.5"/>
    <n v="5"/>
    <n v="60.33"/>
    <n v="12.7"/>
    <x v="1"/>
  </r>
  <r>
    <s v="ORD-10975"/>
    <x v="466"/>
    <s v="Donald Gonzalez"/>
    <x v="1"/>
    <s v="Storage Bins"/>
    <x v="2"/>
    <n v="1"/>
    <n v="56.6"/>
    <n v="10"/>
    <n v="50.94"/>
    <n v="19.63"/>
    <x v="0"/>
  </r>
  <r>
    <s v="ORD-10976"/>
    <x v="510"/>
    <s v="Dorothy Lee"/>
    <x v="0"/>
    <s v="Polo Shirt"/>
    <x v="3"/>
    <n v="3"/>
    <n v="34.15"/>
    <n v="0"/>
    <n v="102.45"/>
    <n v="32.68"/>
    <x v="1"/>
  </r>
  <r>
    <s v="ORD-10977"/>
    <x v="252"/>
    <s v="Kenneth Perez"/>
    <x v="2"/>
    <s v="Resistance Bands"/>
    <x v="4"/>
    <n v="4"/>
    <n v="26.28"/>
    <n v="0"/>
    <n v="105.12"/>
    <n v="36.44"/>
    <x v="1"/>
  </r>
  <r>
    <s v="ORD-10978"/>
    <x v="183"/>
    <s v="Jennifer Harris"/>
    <x v="1"/>
    <s v="Gym Bag"/>
    <x v="4"/>
    <n v="1"/>
    <n v="10.45"/>
    <n v="5"/>
    <n v="9.93"/>
    <n v="2.9"/>
    <x v="0"/>
  </r>
  <r>
    <s v="ORD-10979"/>
    <x v="500"/>
    <s v="Carol Rodriguez"/>
    <x v="4"/>
    <s v="Coffee Maker"/>
    <x v="2"/>
    <n v="2"/>
    <n v="52.2"/>
    <n v="10"/>
    <n v="93.96"/>
    <n v="23.45"/>
    <x v="0"/>
  </r>
  <r>
    <s v="ORD-10980"/>
    <x v="61"/>
    <s v="Elizabeth Rodriguez"/>
    <x v="2"/>
    <s v="Knife Set"/>
    <x v="2"/>
    <n v="1"/>
    <n v="12.26"/>
    <n v="20"/>
    <n v="9.81"/>
    <n v="3.54"/>
    <x v="0"/>
  </r>
  <r>
    <s v="ORD-10981"/>
    <x v="529"/>
    <s v="Jennifer Taylor"/>
    <x v="0"/>
    <s v="Keyboard Mechanical"/>
    <x v="0"/>
    <n v="1"/>
    <n v="31.51"/>
    <n v="20"/>
    <n v="25.21"/>
    <n v="2.89"/>
    <x v="0"/>
  </r>
  <r>
    <s v="ORD-10982"/>
    <x v="28"/>
    <s v="Lisa Smith"/>
    <x v="3"/>
    <s v="Running Shoes"/>
    <x v="3"/>
    <n v="2"/>
    <n v="73.319999999999993"/>
    <n v="15"/>
    <n v="124.64"/>
    <n v="60.35"/>
    <x v="1"/>
  </r>
  <r>
    <s v="ORD-10983"/>
    <x v="530"/>
    <s v="Kenneth Jackson"/>
    <x v="4"/>
    <s v="Water Bottle"/>
    <x v="4"/>
    <n v="3"/>
    <n v="54.7"/>
    <n v="15"/>
    <n v="139.49"/>
    <n v="46.32"/>
    <x v="0"/>
  </r>
  <r>
    <s v="ORD-10984"/>
    <x v="387"/>
    <s v="Susan Taylor"/>
    <x v="0"/>
    <s v="Blender"/>
    <x v="2"/>
    <n v="1"/>
    <n v="41.62"/>
    <n v="10"/>
    <n v="37.46"/>
    <n v="13.05"/>
    <x v="0"/>
  </r>
  <r>
    <s v="ORD-10985"/>
    <x v="397"/>
    <s v="William Anderson"/>
    <x v="2"/>
    <s v="Cycling Gloves"/>
    <x v="4"/>
    <n v="2"/>
    <n v="39.15"/>
    <n v="0"/>
    <n v="78.3"/>
    <n v="25.6"/>
    <x v="0"/>
  </r>
  <r>
    <s v="ORD-10986"/>
    <x v="106"/>
    <s v="Linda Lopez"/>
    <x v="2"/>
    <s v="Throw Blanket"/>
    <x v="2"/>
    <n v="4"/>
    <n v="59.6"/>
    <n v="5"/>
    <n v="226.48"/>
    <n v="60.14"/>
    <x v="0"/>
  </r>
  <r>
    <s v="ORD-10987"/>
    <x v="141"/>
    <s v="Jennifer Ramirez"/>
    <x v="1"/>
    <s v="Wireless Headphones"/>
    <x v="0"/>
    <n v="3"/>
    <n v="54.76"/>
    <n v="0"/>
    <n v="164.28"/>
    <n v="22.73"/>
    <x v="1"/>
  </r>
  <r>
    <s v="ORD-10988"/>
    <x v="88"/>
    <s v="Sandra Lee"/>
    <x v="2"/>
    <s v="Perfume Travel"/>
    <x v="1"/>
    <n v="3"/>
    <n v="31.44"/>
    <n v="0"/>
    <n v="94.32"/>
    <n v="50.55"/>
    <x v="0"/>
  </r>
  <r>
    <s v="ORD-10989"/>
    <x v="531"/>
    <s v="David Sanchez"/>
    <x v="3"/>
    <s v="Scented Candle Set"/>
    <x v="2"/>
    <n v="1"/>
    <n v="31.7"/>
    <n v="20"/>
    <n v="25.36"/>
    <n v="8.8800000000000008"/>
    <x v="1"/>
  </r>
  <r>
    <s v="ORD-10990"/>
    <x v="532"/>
    <s v="Daniel Hernandez"/>
    <x v="0"/>
    <s v="Shampoo Organic"/>
    <x v="1"/>
    <n v="2"/>
    <n v="24.12"/>
    <n v="5"/>
    <n v="45.83"/>
    <n v="23.34"/>
    <x v="1"/>
  </r>
  <r>
    <s v="ORD-10991"/>
    <x v="42"/>
    <s v="Matthew Jackson"/>
    <x v="2"/>
    <s v="Knife Set"/>
    <x v="2"/>
    <n v="1"/>
    <n v="53.32"/>
    <n v="0"/>
    <n v="53.32"/>
    <n v="15.24"/>
    <x v="2"/>
  </r>
  <r>
    <s v="ORD-10992"/>
    <x v="320"/>
    <s v="Linda Ramirez"/>
    <x v="1"/>
    <s v="Polo Shirt"/>
    <x v="3"/>
    <n v="2"/>
    <n v="83.66"/>
    <n v="0"/>
    <n v="167.32"/>
    <n v="87.61"/>
    <x v="1"/>
  </r>
  <r>
    <s v="ORD-10993"/>
    <x v="521"/>
    <s v="James Ramirez"/>
    <x v="2"/>
    <s v="Cotton T-Shirt"/>
    <x v="3"/>
    <n v="2"/>
    <n v="75.09"/>
    <n v="5"/>
    <n v="142.66999999999999"/>
    <n v="64.540000000000006"/>
    <x v="1"/>
  </r>
  <r>
    <s v="ORD-10994"/>
    <x v="489"/>
    <s v="Lisa Wilson"/>
    <x v="2"/>
    <s v="Running Shoes"/>
    <x v="3"/>
    <n v="2"/>
    <n v="67.459999999999994"/>
    <n v="25"/>
    <n v="101.19"/>
    <n v="41.09"/>
    <x v="0"/>
  </r>
  <r>
    <s v="ORD-10995"/>
    <x v="3"/>
    <s v="Joshua Brown"/>
    <x v="4"/>
    <s v="Cargo Shorts"/>
    <x v="3"/>
    <n v="1"/>
    <n v="55.97"/>
    <n v="15"/>
    <n v="47.57"/>
    <n v="20.13"/>
    <x v="0"/>
  </r>
  <r>
    <s v="ORD-10996"/>
    <x v="45"/>
    <s v="Mary Thomas"/>
    <x v="2"/>
    <s v="Yoga Pants"/>
    <x v="3"/>
    <n v="1"/>
    <n v="74.930000000000007"/>
    <n v="25"/>
    <n v="56.2"/>
    <n v="29.74"/>
    <x v="1"/>
  </r>
  <r>
    <s v="ORD-10997"/>
    <x v="533"/>
    <s v="Ashley Anderson"/>
    <x v="3"/>
    <s v="USB-C Hub"/>
    <x v="0"/>
    <n v="2"/>
    <n v="83.45"/>
    <n v="15"/>
    <n v="141.87"/>
    <n v="27.23"/>
    <x v="1"/>
  </r>
  <r>
    <s v="ORD-10998"/>
    <x v="24"/>
    <s v="Mary Miller"/>
    <x v="1"/>
    <s v="Polo Shirt"/>
    <x v="3"/>
    <n v="3"/>
    <n v="41.47"/>
    <n v="10"/>
    <n v="111.97"/>
    <n v="61.29"/>
    <x v="1"/>
  </r>
  <r>
    <s v="ORD-10999"/>
    <x v="534"/>
    <s v="Jennifer Lewis"/>
    <x v="0"/>
    <s v="Tablet Case"/>
    <x v="0"/>
    <n v="1"/>
    <n v="75.17"/>
    <n v="15"/>
    <n v="63.89"/>
    <n v="9.31"/>
    <x v="0"/>
  </r>
  <r>
    <s v="ORD-11000"/>
    <x v="535"/>
    <s v="Michael Smith"/>
    <x v="4"/>
    <s v="Resistance Bands"/>
    <x v="4"/>
    <n v="2"/>
    <n v="16.91"/>
    <n v="10"/>
    <n v="30.44"/>
    <n v="8.57"/>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20FD8B-10CD-4065-966B-3B4976FB3F3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5:B36" firstHeaderRow="1" firstDataRow="1" firstDataCol="1"/>
  <pivotFields count="15">
    <pivotField showAll="0"/>
    <pivotField numFmtId="164" showAll="0">
      <items count="537">
        <item x="338"/>
        <item x="337"/>
        <item x="371"/>
        <item x="392"/>
        <item x="510"/>
        <item x="41"/>
        <item x="114"/>
        <item x="303"/>
        <item x="162"/>
        <item x="190"/>
        <item x="372"/>
        <item x="4"/>
        <item x="319"/>
        <item x="315"/>
        <item x="142"/>
        <item x="65"/>
        <item x="395"/>
        <item x="404"/>
        <item x="91"/>
        <item x="171"/>
        <item x="342"/>
        <item x="219"/>
        <item x="503"/>
        <item x="277"/>
        <item x="377"/>
        <item x="154"/>
        <item x="439"/>
        <item x="136"/>
        <item x="216"/>
        <item x="253"/>
        <item x="179"/>
        <item x="447"/>
        <item x="443"/>
        <item x="302"/>
        <item x="416"/>
        <item x="339"/>
        <item x="502"/>
        <item x="229"/>
        <item x="368"/>
        <item x="204"/>
        <item x="478"/>
        <item x="271"/>
        <item x="460"/>
        <item x="340"/>
        <item x="89"/>
        <item x="20"/>
        <item x="62"/>
        <item x="117"/>
        <item x="118"/>
        <item x="266"/>
        <item x="221"/>
        <item x="63"/>
        <item x="470"/>
        <item x="124"/>
        <item x="88"/>
        <item x="363"/>
        <item x="248"/>
        <item x="115"/>
        <item x="391"/>
        <item x="527"/>
        <item x="274"/>
        <item x="132"/>
        <item x="241"/>
        <item x="440"/>
        <item x="140"/>
        <item x="494"/>
        <item x="393"/>
        <item x="400"/>
        <item x="369"/>
        <item x="479"/>
        <item x="291"/>
        <item x="189"/>
        <item x="500"/>
        <item x="326"/>
        <item x="522"/>
        <item x="94"/>
        <item x="310"/>
        <item x="203"/>
        <item x="220"/>
        <item x="188"/>
        <item x="322"/>
        <item x="461"/>
        <item x="166"/>
        <item x="427"/>
        <item x="311"/>
        <item x="120"/>
        <item x="18"/>
        <item x="260"/>
        <item x="381"/>
        <item x="40"/>
        <item x="282"/>
        <item x="398"/>
        <item x="193"/>
        <item x="354"/>
        <item x="407"/>
        <item x="129"/>
        <item x="25"/>
        <item x="82"/>
        <item x="513"/>
        <item x="464"/>
        <item x="286"/>
        <item x="161"/>
        <item x="200"/>
        <item x="520"/>
        <item x="206"/>
        <item x="185"/>
        <item x="321"/>
        <item x="299"/>
        <item x="194"/>
        <item x="288"/>
        <item x="259"/>
        <item x="245"/>
        <item x="207"/>
        <item x="516"/>
        <item x="300"/>
        <item x="419"/>
        <item x="196"/>
        <item x="144"/>
        <item x="208"/>
        <item x="452"/>
        <item x="508"/>
        <item x="6"/>
        <item x="429"/>
        <item x="85"/>
        <item x="218"/>
        <item x="60"/>
        <item x="265"/>
        <item x="360"/>
        <item x="177"/>
        <item x="413"/>
        <item x="333"/>
        <item x="255"/>
        <item x="335"/>
        <item x="48"/>
        <item x="0"/>
        <item x="534"/>
        <item x="261"/>
        <item x="92"/>
        <item x="428"/>
        <item x="93"/>
        <item x="341"/>
        <item x="102"/>
        <item x="394"/>
        <item x="153"/>
        <item x="213"/>
        <item x="109"/>
        <item x="15"/>
        <item x="438"/>
        <item x="262"/>
        <item x="442"/>
        <item x="320"/>
        <item x="344"/>
        <item x="406"/>
        <item x="73"/>
        <item x="434"/>
        <item x="449"/>
        <item x="382"/>
        <item x="32"/>
        <item x="515"/>
        <item x="141"/>
        <item x="487"/>
        <item x="108"/>
        <item x="264"/>
        <item x="476"/>
        <item x="405"/>
        <item x="323"/>
        <item x="343"/>
        <item x="348"/>
        <item x="410"/>
        <item x="186"/>
        <item x="356"/>
        <item x="51"/>
        <item x="485"/>
        <item x="237"/>
        <item x="498"/>
        <item x="465"/>
        <item x="34"/>
        <item x="137"/>
        <item x="38"/>
        <item x="491"/>
        <item x="399"/>
        <item x="504"/>
        <item x="359"/>
        <item x="524"/>
        <item x="147"/>
        <item x="278"/>
        <item x="103"/>
        <item x="28"/>
        <item x="477"/>
        <item x="499"/>
        <item x="366"/>
        <item x="167"/>
        <item x="417"/>
        <item x="222"/>
        <item x="296"/>
        <item x="152"/>
        <item x="433"/>
        <item x="130"/>
        <item x="104"/>
        <item x="480"/>
        <item x="175"/>
        <item x="412"/>
        <item x="472"/>
        <item x="294"/>
        <item x="151"/>
        <item x="486"/>
        <item x="526"/>
        <item x="157"/>
        <item x="331"/>
        <item x="481"/>
        <item x="401"/>
        <item x="67"/>
        <item x="22"/>
        <item x="225"/>
        <item x="30"/>
        <item x="231"/>
        <item x="415"/>
        <item x="180"/>
        <item x="66"/>
        <item x="316"/>
        <item x="509"/>
        <item x="373"/>
        <item x="83"/>
        <item x="95"/>
        <item x="56"/>
        <item x="242"/>
        <item x="7"/>
        <item x="17"/>
        <item x="69"/>
        <item x="170"/>
        <item x="158"/>
        <item x="35"/>
        <item x="290"/>
        <item x="143"/>
        <item x="84"/>
        <item x="107"/>
        <item x="454"/>
        <item x="365"/>
        <item x="280"/>
        <item x="403"/>
        <item x="456"/>
        <item x="495"/>
        <item x="453"/>
        <item x="14"/>
        <item x="3"/>
        <item x="270"/>
        <item x="275"/>
        <item x="304"/>
        <item x="33"/>
        <item x="232"/>
        <item x="314"/>
        <item x="42"/>
        <item x="97"/>
        <item x="105"/>
        <item x="425"/>
        <item x="2"/>
        <item x="521"/>
        <item x="422"/>
        <item x="233"/>
        <item x="250"/>
        <item x="324"/>
        <item x="9"/>
        <item x="375"/>
        <item x="31"/>
        <item x="98"/>
        <item x="492"/>
        <item x="126"/>
        <item x="357"/>
        <item x="64"/>
        <item x="370"/>
        <item x="8"/>
        <item x="156"/>
        <item x="273"/>
        <item x="192"/>
        <item x="125"/>
        <item x="531"/>
        <item x="45"/>
        <item x="525"/>
        <item x="292"/>
        <item x="87"/>
        <item x="26"/>
        <item x="420"/>
        <item x="346"/>
        <item x="396"/>
        <item x="463"/>
        <item x="50"/>
        <item x="182"/>
        <item x="351"/>
        <item x="251"/>
        <item x="256"/>
        <item x="223"/>
        <item x="281"/>
        <item x="455"/>
        <item x="285"/>
        <item x="511"/>
        <item x="79"/>
        <item x="215"/>
        <item x="469"/>
        <item x="530"/>
        <item x="128"/>
        <item x="43"/>
        <item x="430"/>
        <item x="347"/>
        <item x="329"/>
        <item x="345"/>
        <item x="198"/>
        <item x="257"/>
        <item x="289"/>
        <item x="276"/>
        <item x="426"/>
        <item x="230"/>
        <item x="224"/>
        <item x="234"/>
        <item x="512"/>
        <item x="164"/>
        <item x="244"/>
        <item x="482"/>
        <item x="307"/>
        <item x="113"/>
        <item x="211"/>
        <item x="70"/>
        <item x="29"/>
        <item x="518"/>
        <item x="16"/>
        <item x="111"/>
        <item x="374"/>
        <item x="21"/>
        <item x="1"/>
        <item x="240"/>
        <item x="68"/>
        <item x="19"/>
        <item x="122"/>
        <item x="409"/>
        <item x="90"/>
        <item x="279"/>
        <item x="71"/>
        <item x="361"/>
        <item x="332"/>
        <item x="517"/>
        <item x="155"/>
        <item x="238"/>
        <item x="483"/>
        <item x="272"/>
        <item x="336"/>
        <item x="75"/>
        <item x="254"/>
        <item x="106"/>
        <item x="367"/>
        <item x="135"/>
        <item x="408"/>
        <item x="77"/>
        <item x="258"/>
        <item x="12"/>
        <item x="446"/>
        <item x="528"/>
        <item x="349"/>
        <item x="352"/>
        <item x="183"/>
        <item x="506"/>
        <item x="457"/>
        <item x="165"/>
        <item x="484"/>
        <item x="205"/>
        <item x="57"/>
        <item x="301"/>
        <item x="197"/>
        <item x="305"/>
        <item x="390"/>
        <item x="437"/>
        <item x="133"/>
        <item x="295"/>
        <item x="112"/>
        <item x="475"/>
        <item x="523"/>
        <item x="436"/>
        <item x="364"/>
        <item x="519"/>
        <item x="490"/>
        <item x="54"/>
        <item x="191"/>
        <item x="252"/>
        <item x="378"/>
        <item x="59"/>
        <item x="169"/>
        <item x="353"/>
        <item x="441"/>
        <item x="387"/>
        <item x="53"/>
        <item x="212"/>
        <item x="474"/>
        <item x="448"/>
        <item x="444"/>
        <item x="496"/>
        <item x="418"/>
        <item x="505"/>
        <item x="236"/>
        <item x="47"/>
        <item x="507"/>
        <item x="263"/>
        <item x="44"/>
        <item x="239"/>
        <item x="214"/>
        <item x="451"/>
        <item x="23"/>
        <item x="535"/>
        <item x="86"/>
        <item x="131"/>
        <item x="283"/>
        <item x="178"/>
        <item x="466"/>
        <item x="501"/>
        <item x="313"/>
        <item x="96"/>
        <item x="138"/>
        <item x="414"/>
        <item x="488"/>
        <item x="312"/>
        <item x="293"/>
        <item x="532"/>
        <item x="176"/>
        <item x="159"/>
        <item x="174"/>
        <item x="101"/>
        <item x="173"/>
        <item x="376"/>
        <item x="462"/>
        <item x="5"/>
        <item x="139"/>
        <item x="226"/>
        <item x="411"/>
        <item x="435"/>
        <item x="11"/>
        <item x="187"/>
        <item x="493"/>
        <item x="402"/>
        <item x="181"/>
        <item x="306"/>
        <item x="127"/>
        <item x="467"/>
        <item x="355"/>
        <item x="468"/>
        <item x="423"/>
        <item x="110"/>
        <item x="246"/>
        <item x="432"/>
        <item x="424"/>
        <item x="46"/>
        <item x="72"/>
        <item x="160"/>
        <item x="431"/>
        <item x="384"/>
        <item x="328"/>
        <item x="327"/>
        <item x="514"/>
        <item x="228"/>
        <item x="168"/>
        <item x="473"/>
        <item x="350"/>
        <item x="163"/>
        <item x="80"/>
        <item x="317"/>
        <item x="121"/>
        <item x="235"/>
        <item x="383"/>
        <item x="195"/>
        <item x="318"/>
        <item x="267"/>
        <item x="298"/>
        <item x="334"/>
        <item x="36"/>
        <item x="379"/>
        <item x="284"/>
        <item x="119"/>
        <item x="76"/>
        <item x="388"/>
        <item x="24"/>
        <item x="55"/>
        <item x="529"/>
        <item x="386"/>
        <item x="330"/>
        <item x="74"/>
        <item x="489"/>
        <item x="148"/>
        <item x="421"/>
        <item x="358"/>
        <item x="309"/>
        <item x="210"/>
        <item x="385"/>
        <item x="134"/>
        <item x="458"/>
        <item x="308"/>
        <item x="201"/>
        <item x="37"/>
        <item x="10"/>
        <item x="269"/>
        <item x="146"/>
        <item x="243"/>
        <item x="202"/>
        <item x="49"/>
        <item x="145"/>
        <item x="459"/>
        <item x="172"/>
        <item x="52"/>
        <item x="380"/>
        <item x="61"/>
        <item x="533"/>
        <item x="199"/>
        <item x="247"/>
        <item x="184"/>
        <item x="297"/>
        <item x="58"/>
        <item x="389"/>
        <item x="445"/>
        <item x="450"/>
        <item x="39"/>
        <item x="227"/>
        <item x="362"/>
        <item x="325"/>
        <item x="116"/>
        <item x="123"/>
        <item x="100"/>
        <item x="150"/>
        <item x="471"/>
        <item x="78"/>
        <item x="287"/>
        <item x="217"/>
        <item x="149"/>
        <item x="249"/>
        <item x="268"/>
        <item x="209"/>
        <item x="397"/>
        <item x="99"/>
        <item x="497"/>
        <item x="13"/>
        <item x="81"/>
        <item x="27"/>
        <item t="default"/>
      </items>
    </pivotField>
    <pivotField showAll="0"/>
    <pivotField showAll="0">
      <items count="6">
        <item x="1"/>
        <item h="1" x="3"/>
        <item h="1" x="2"/>
        <item h="1" x="4"/>
        <item h="1" x="0"/>
        <item t="default"/>
      </items>
    </pivotField>
    <pivotField showAll="0"/>
    <pivotField showAll="0">
      <items count="6">
        <item h="1" x="1"/>
        <item h="1" x="3"/>
        <item x="0"/>
        <item h="1" x="2"/>
        <item h="1" x="4"/>
        <item t="default"/>
      </items>
    </pivotField>
    <pivotField showAll="0"/>
    <pivotField numFmtId="165" showAll="0"/>
    <pivotField numFmtId="166" showAll="0"/>
    <pivotField numFmtId="165" showAll="0"/>
    <pivotField dataField="1" numFmtId="165" showAll="0"/>
    <pivotField showAll="0">
      <items count="4">
        <item h="1" x="1"/>
        <item x="2"/>
        <item h="1" x="0"/>
        <item t="default"/>
      </items>
    </pivotField>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 axis="axisRow" showAll="0">
      <items count="5">
        <item x="0"/>
        <item x="1"/>
        <item x="2"/>
        <item x="3"/>
        <item t="default"/>
      </items>
    </pivotField>
  </pivotFields>
  <rowFields count="3">
    <field x="14"/>
    <field x="13"/>
    <field x="12"/>
  </rowFields>
  <rowItems count="11">
    <i>
      <x v="1"/>
    </i>
    <i r="1">
      <x v="1"/>
    </i>
    <i r="2">
      <x v="1"/>
    </i>
    <i r="2">
      <x v="2"/>
    </i>
    <i r="2">
      <x v="3"/>
    </i>
    <i r="1">
      <x v="4"/>
    </i>
    <i r="2">
      <x v="11"/>
    </i>
    <i>
      <x v="2"/>
    </i>
    <i r="1">
      <x v="3"/>
    </i>
    <i r="2">
      <x v="9"/>
    </i>
    <i t="grand">
      <x/>
    </i>
  </rowItems>
  <colItems count="1">
    <i/>
  </colItems>
  <dataFields count="1">
    <dataField name="Sum of Profit" fld="10"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451A690-CDE4-42B1-89DD-BE63AC0AAC2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G17:H28" firstHeaderRow="1" firstDataRow="1" firstDataCol="1"/>
  <pivotFields count="15">
    <pivotField showAll="0"/>
    <pivotField axis="axisRow" numFmtId="164" showAll="0">
      <items count="537">
        <item x="338"/>
        <item x="337"/>
        <item x="371"/>
        <item x="392"/>
        <item x="510"/>
        <item x="41"/>
        <item x="114"/>
        <item x="303"/>
        <item x="162"/>
        <item x="190"/>
        <item x="372"/>
        <item x="4"/>
        <item x="319"/>
        <item x="315"/>
        <item x="142"/>
        <item x="65"/>
        <item x="395"/>
        <item x="404"/>
        <item x="91"/>
        <item x="171"/>
        <item x="342"/>
        <item x="219"/>
        <item x="503"/>
        <item x="277"/>
        <item x="377"/>
        <item x="154"/>
        <item x="439"/>
        <item x="136"/>
        <item x="216"/>
        <item x="253"/>
        <item x="179"/>
        <item x="447"/>
        <item x="443"/>
        <item x="302"/>
        <item x="416"/>
        <item x="339"/>
        <item x="502"/>
        <item x="229"/>
        <item x="368"/>
        <item x="204"/>
        <item x="478"/>
        <item x="271"/>
        <item x="460"/>
        <item x="340"/>
        <item x="89"/>
        <item x="20"/>
        <item x="62"/>
        <item x="117"/>
        <item x="118"/>
        <item x="266"/>
        <item x="221"/>
        <item x="63"/>
        <item x="470"/>
        <item x="124"/>
        <item x="88"/>
        <item x="363"/>
        <item x="248"/>
        <item x="115"/>
        <item x="391"/>
        <item x="527"/>
        <item x="274"/>
        <item x="132"/>
        <item x="241"/>
        <item x="440"/>
        <item x="140"/>
        <item x="494"/>
        <item x="393"/>
        <item x="400"/>
        <item x="369"/>
        <item x="479"/>
        <item x="291"/>
        <item x="189"/>
        <item x="500"/>
        <item x="326"/>
        <item x="522"/>
        <item x="94"/>
        <item x="310"/>
        <item x="203"/>
        <item x="220"/>
        <item x="188"/>
        <item x="322"/>
        <item x="461"/>
        <item x="166"/>
        <item x="427"/>
        <item x="311"/>
        <item x="120"/>
        <item x="18"/>
        <item x="260"/>
        <item x="381"/>
        <item x="40"/>
        <item x="282"/>
        <item x="398"/>
        <item x="193"/>
        <item x="354"/>
        <item x="407"/>
        <item x="129"/>
        <item x="25"/>
        <item x="82"/>
        <item x="513"/>
        <item x="464"/>
        <item x="286"/>
        <item x="161"/>
        <item x="200"/>
        <item x="520"/>
        <item x="206"/>
        <item x="185"/>
        <item x="321"/>
        <item x="299"/>
        <item x="194"/>
        <item x="288"/>
        <item x="259"/>
        <item x="245"/>
        <item x="207"/>
        <item x="516"/>
        <item x="300"/>
        <item x="419"/>
        <item x="196"/>
        <item x="144"/>
        <item x="208"/>
        <item x="452"/>
        <item x="508"/>
        <item x="6"/>
        <item x="429"/>
        <item x="85"/>
        <item x="218"/>
        <item x="60"/>
        <item x="265"/>
        <item x="360"/>
        <item x="177"/>
        <item x="413"/>
        <item x="333"/>
        <item x="255"/>
        <item x="335"/>
        <item x="48"/>
        <item x="0"/>
        <item x="534"/>
        <item x="261"/>
        <item x="92"/>
        <item x="428"/>
        <item x="93"/>
        <item x="341"/>
        <item x="102"/>
        <item x="394"/>
        <item x="153"/>
        <item x="213"/>
        <item x="109"/>
        <item x="15"/>
        <item x="438"/>
        <item x="262"/>
        <item x="442"/>
        <item x="320"/>
        <item x="344"/>
        <item x="406"/>
        <item x="73"/>
        <item x="434"/>
        <item x="449"/>
        <item x="382"/>
        <item x="32"/>
        <item x="515"/>
        <item x="141"/>
        <item x="487"/>
        <item x="108"/>
        <item x="264"/>
        <item x="476"/>
        <item x="405"/>
        <item x="323"/>
        <item x="343"/>
        <item x="348"/>
        <item x="410"/>
        <item x="186"/>
        <item x="356"/>
        <item x="51"/>
        <item x="485"/>
        <item x="237"/>
        <item x="498"/>
        <item x="465"/>
        <item x="34"/>
        <item x="137"/>
        <item x="38"/>
        <item x="491"/>
        <item x="399"/>
        <item x="504"/>
        <item x="359"/>
        <item x="524"/>
        <item x="147"/>
        <item x="278"/>
        <item x="103"/>
        <item x="28"/>
        <item x="477"/>
        <item x="499"/>
        <item x="366"/>
        <item x="167"/>
        <item x="417"/>
        <item x="222"/>
        <item x="296"/>
        <item x="152"/>
        <item x="433"/>
        <item x="130"/>
        <item x="104"/>
        <item x="480"/>
        <item x="175"/>
        <item x="412"/>
        <item x="472"/>
        <item x="294"/>
        <item x="151"/>
        <item x="486"/>
        <item x="526"/>
        <item x="157"/>
        <item x="331"/>
        <item x="481"/>
        <item x="401"/>
        <item x="67"/>
        <item x="22"/>
        <item x="225"/>
        <item x="30"/>
        <item x="231"/>
        <item x="415"/>
        <item x="180"/>
        <item x="66"/>
        <item x="316"/>
        <item x="509"/>
        <item x="373"/>
        <item x="83"/>
        <item x="95"/>
        <item x="56"/>
        <item x="242"/>
        <item x="7"/>
        <item x="17"/>
        <item x="69"/>
        <item x="170"/>
        <item x="158"/>
        <item x="35"/>
        <item x="290"/>
        <item x="143"/>
        <item x="84"/>
        <item x="107"/>
        <item x="454"/>
        <item x="365"/>
        <item x="280"/>
        <item x="403"/>
        <item x="456"/>
        <item x="495"/>
        <item x="453"/>
        <item x="14"/>
        <item x="3"/>
        <item x="270"/>
        <item x="275"/>
        <item x="304"/>
        <item x="33"/>
        <item x="232"/>
        <item x="314"/>
        <item x="42"/>
        <item x="97"/>
        <item x="105"/>
        <item x="425"/>
        <item x="2"/>
        <item x="521"/>
        <item x="422"/>
        <item x="233"/>
        <item x="250"/>
        <item x="324"/>
        <item x="9"/>
        <item x="375"/>
        <item x="31"/>
        <item x="98"/>
        <item x="492"/>
        <item x="126"/>
        <item x="357"/>
        <item x="64"/>
        <item x="370"/>
        <item x="8"/>
        <item x="156"/>
        <item x="273"/>
        <item x="192"/>
        <item x="125"/>
        <item x="531"/>
        <item x="45"/>
        <item x="525"/>
        <item x="292"/>
        <item x="87"/>
        <item x="26"/>
        <item x="420"/>
        <item x="346"/>
        <item x="396"/>
        <item x="463"/>
        <item x="50"/>
        <item x="182"/>
        <item x="351"/>
        <item x="251"/>
        <item x="256"/>
        <item x="223"/>
        <item x="281"/>
        <item x="455"/>
        <item x="285"/>
        <item x="511"/>
        <item x="79"/>
        <item x="215"/>
        <item x="469"/>
        <item x="530"/>
        <item x="128"/>
        <item x="43"/>
        <item x="430"/>
        <item x="347"/>
        <item x="329"/>
        <item x="345"/>
        <item x="198"/>
        <item x="257"/>
        <item x="289"/>
        <item x="276"/>
        <item x="426"/>
        <item x="230"/>
        <item x="224"/>
        <item x="234"/>
        <item x="512"/>
        <item x="164"/>
        <item x="244"/>
        <item x="482"/>
        <item x="307"/>
        <item x="113"/>
        <item x="211"/>
        <item x="70"/>
        <item x="29"/>
        <item x="518"/>
        <item x="16"/>
        <item x="111"/>
        <item x="374"/>
        <item x="21"/>
        <item x="1"/>
        <item x="240"/>
        <item x="68"/>
        <item x="19"/>
        <item x="122"/>
        <item x="409"/>
        <item x="90"/>
        <item x="279"/>
        <item x="71"/>
        <item x="361"/>
        <item x="332"/>
        <item x="517"/>
        <item x="155"/>
        <item x="238"/>
        <item x="483"/>
        <item x="272"/>
        <item x="336"/>
        <item x="75"/>
        <item x="254"/>
        <item x="106"/>
        <item x="367"/>
        <item x="135"/>
        <item x="408"/>
        <item x="77"/>
        <item x="258"/>
        <item x="12"/>
        <item x="446"/>
        <item x="528"/>
        <item x="349"/>
        <item x="352"/>
        <item x="183"/>
        <item x="506"/>
        <item x="457"/>
        <item x="165"/>
        <item x="484"/>
        <item x="205"/>
        <item x="57"/>
        <item x="301"/>
        <item x="197"/>
        <item x="305"/>
        <item x="390"/>
        <item x="437"/>
        <item x="133"/>
        <item x="295"/>
        <item x="112"/>
        <item x="475"/>
        <item x="523"/>
        <item x="436"/>
        <item x="364"/>
        <item x="519"/>
        <item x="490"/>
        <item x="54"/>
        <item x="191"/>
        <item x="252"/>
        <item x="378"/>
        <item x="59"/>
        <item x="169"/>
        <item x="353"/>
        <item x="441"/>
        <item x="387"/>
        <item x="53"/>
        <item x="212"/>
        <item x="474"/>
        <item x="448"/>
        <item x="444"/>
        <item x="496"/>
        <item x="418"/>
        <item x="505"/>
        <item x="236"/>
        <item x="47"/>
        <item x="507"/>
        <item x="263"/>
        <item x="44"/>
        <item x="239"/>
        <item x="214"/>
        <item x="451"/>
        <item x="23"/>
        <item x="535"/>
        <item x="86"/>
        <item x="131"/>
        <item x="283"/>
        <item x="178"/>
        <item x="466"/>
        <item x="501"/>
        <item x="313"/>
        <item x="96"/>
        <item x="138"/>
        <item x="414"/>
        <item x="488"/>
        <item x="312"/>
        <item x="293"/>
        <item x="532"/>
        <item x="176"/>
        <item x="159"/>
        <item x="174"/>
        <item x="101"/>
        <item x="173"/>
        <item x="376"/>
        <item x="462"/>
        <item x="5"/>
        <item x="139"/>
        <item x="226"/>
        <item x="411"/>
        <item x="435"/>
        <item x="11"/>
        <item x="187"/>
        <item x="493"/>
        <item x="402"/>
        <item x="181"/>
        <item x="306"/>
        <item x="127"/>
        <item x="467"/>
        <item x="355"/>
        <item x="468"/>
        <item x="423"/>
        <item x="110"/>
        <item x="246"/>
        <item x="432"/>
        <item x="424"/>
        <item x="46"/>
        <item x="72"/>
        <item x="160"/>
        <item x="431"/>
        <item x="384"/>
        <item x="328"/>
        <item x="327"/>
        <item x="514"/>
        <item x="228"/>
        <item x="168"/>
        <item x="473"/>
        <item x="350"/>
        <item x="163"/>
        <item x="80"/>
        <item x="317"/>
        <item x="121"/>
        <item x="235"/>
        <item x="383"/>
        <item x="195"/>
        <item x="318"/>
        <item x="267"/>
        <item x="298"/>
        <item x="334"/>
        <item x="36"/>
        <item x="379"/>
        <item x="284"/>
        <item x="119"/>
        <item x="76"/>
        <item x="388"/>
        <item x="24"/>
        <item x="55"/>
        <item x="529"/>
        <item x="386"/>
        <item x="330"/>
        <item x="74"/>
        <item x="489"/>
        <item x="148"/>
        <item x="421"/>
        <item x="358"/>
        <item x="309"/>
        <item x="210"/>
        <item x="385"/>
        <item x="134"/>
        <item x="458"/>
        <item x="308"/>
        <item x="201"/>
        <item x="37"/>
        <item x="10"/>
        <item x="269"/>
        <item x="146"/>
        <item x="243"/>
        <item x="202"/>
        <item x="49"/>
        <item x="145"/>
        <item x="459"/>
        <item x="172"/>
        <item x="52"/>
        <item x="380"/>
        <item x="61"/>
        <item x="533"/>
        <item x="199"/>
        <item x="247"/>
        <item x="184"/>
        <item x="297"/>
        <item x="58"/>
        <item x="389"/>
        <item x="445"/>
        <item x="450"/>
        <item x="39"/>
        <item x="227"/>
        <item x="362"/>
        <item x="325"/>
        <item x="116"/>
        <item x="123"/>
        <item x="100"/>
        <item x="150"/>
        <item x="471"/>
        <item x="78"/>
        <item x="287"/>
        <item x="217"/>
        <item x="149"/>
        <item x="249"/>
        <item x="268"/>
        <item x="209"/>
        <item x="397"/>
        <item x="99"/>
        <item x="497"/>
        <item x="13"/>
        <item x="81"/>
        <item x="27"/>
        <item t="default"/>
      </items>
    </pivotField>
    <pivotField showAll="0"/>
    <pivotField showAll="0">
      <items count="6">
        <item x="1"/>
        <item h="1" x="3"/>
        <item h="1" x="2"/>
        <item h="1" x="4"/>
        <item h="1" x="0"/>
        <item t="default"/>
      </items>
    </pivotField>
    <pivotField showAll="0"/>
    <pivotField showAll="0">
      <items count="6">
        <item h="1" x="1"/>
        <item h="1" x="3"/>
        <item x="0"/>
        <item h="1" x="2"/>
        <item h="1" x="4"/>
        <item t="default"/>
      </items>
    </pivotField>
    <pivotField showAll="0"/>
    <pivotField numFmtId="165" showAll="0"/>
    <pivotField numFmtId="166" showAll="0"/>
    <pivotField dataField="1" numFmtId="165" showAll="0"/>
    <pivotField numFmtId="165" showAll="0"/>
    <pivotField showAll="0">
      <items count="4">
        <item h="1" x="1"/>
        <item x="2"/>
        <item h="1" x="0"/>
        <item t="default"/>
      </items>
    </pivotField>
    <pivotField axis="axisRow" showAll="0">
      <items count="15">
        <item x="0"/>
        <item sd="0" x="1"/>
        <item sd="0" x="2"/>
        <item sd="0" x="3"/>
        <item sd="0" x="4"/>
        <item sd="0" x="5"/>
        <item sd="0" x="6"/>
        <item sd="0" x="7"/>
        <item sd="0" x="8"/>
        <item sd="0" x="9"/>
        <item sd="0" x="10"/>
        <item sd="0" x="11"/>
        <item sd="0" x="12"/>
        <item x="13"/>
        <item t="default"/>
      </items>
    </pivotField>
    <pivotField axis="axisRow" showAll="0">
      <items count="7">
        <item x="0"/>
        <item x="1"/>
        <item x="2"/>
        <item x="3"/>
        <item x="4"/>
        <item x="5"/>
        <item t="default"/>
      </items>
    </pivotField>
    <pivotField axis="axisRow" showAll="0">
      <items count="5">
        <item x="0"/>
        <item x="1"/>
        <item x="2"/>
        <item x="3"/>
        <item t="default"/>
      </items>
    </pivotField>
  </pivotFields>
  <rowFields count="4">
    <field x="14"/>
    <field x="13"/>
    <field x="12"/>
    <field x="1"/>
  </rowFields>
  <rowItems count="11">
    <i>
      <x v="1"/>
    </i>
    <i r="1">
      <x v="1"/>
    </i>
    <i r="2">
      <x v="1"/>
    </i>
    <i r="2">
      <x v="2"/>
    </i>
    <i r="2">
      <x v="3"/>
    </i>
    <i r="1">
      <x v="4"/>
    </i>
    <i r="2">
      <x v="11"/>
    </i>
    <i>
      <x v="2"/>
    </i>
    <i r="1">
      <x v="3"/>
    </i>
    <i r="2">
      <x v="9"/>
    </i>
    <i t="grand">
      <x/>
    </i>
  </rowItems>
  <colItems count="1">
    <i/>
  </colItems>
  <dataFields count="1">
    <dataField name="Sum of Total Revenue" fld="9" baseField="0" baseItem="0" numFmtId="165"/>
  </dataFields>
  <chartFormats count="1">
    <chartFormat chart="3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4ABF2C6-2E4A-48E3-8398-9F801A2AB66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9:B11" firstHeaderRow="1" firstDataRow="1" firstDataCol="1"/>
  <pivotFields count="15">
    <pivotField showAll="0"/>
    <pivotField numFmtId="164" showAll="0">
      <items count="537">
        <item x="338"/>
        <item x="337"/>
        <item x="371"/>
        <item x="392"/>
        <item x="510"/>
        <item x="41"/>
        <item x="114"/>
        <item x="303"/>
        <item x="162"/>
        <item x="190"/>
        <item x="372"/>
        <item x="4"/>
        <item x="319"/>
        <item x="315"/>
        <item x="142"/>
        <item x="65"/>
        <item x="395"/>
        <item x="404"/>
        <item x="91"/>
        <item x="171"/>
        <item x="342"/>
        <item x="219"/>
        <item x="503"/>
        <item x="277"/>
        <item x="377"/>
        <item x="154"/>
        <item x="439"/>
        <item x="136"/>
        <item x="216"/>
        <item x="253"/>
        <item x="179"/>
        <item x="447"/>
        <item x="443"/>
        <item x="302"/>
        <item x="416"/>
        <item x="339"/>
        <item x="502"/>
        <item x="229"/>
        <item x="368"/>
        <item x="204"/>
        <item x="478"/>
        <item x="271"/>
        <item x="460"/>
        <item x="340"/>
        <item x="89"/>
        <item x="20"/>
        <item x="62"/>
        <item x="117"/>
        <item x="118"/>
        <item x="266"/>
        <item x="221"/>
        <item x="63"/>
        <item x="470"/>
        <item x="124"/>
        <item x="88"/>
        <item x="363"/>
        <item x="248"/>
        <item x="115"/>
        <item x="391"/>
        <item x="527"/>
        <item x="274"/>
        <item x="132"/>
        <item x="241"/>
        <item x="440"/>
        <item x="140"/>
        <item x="494"/>
        <item x="393"/>
        <item x="400"/>
        <item x="369"/>
        <item x="479"/>
        <item x="291"/>
        <item x="189"/>
        <item x="500"/>
        <item x="326"/>
        <item x="522"/>
        <item x="94"/>
        <item x="310"/>
        <item x="203"/>
        <item x="220"/>
        <item x="188"/>
        <item x="322"/>
        <item x="461"/>
        <item x="166"/>
        <item x="427"/>
        <item x="311"/>
        <item x="120"/>
        <item x="18"/>
        <item x="260"/>
        <item x="381"/>
        <item x="40"/>
        <item x="282"/>
        <item x="398"/>
        <item x="193"/>
        <item x="354"/>
        <item x="407"/>
        <item x="129"/>
        <item x="25"/>
        <item x="82"/>
        <item x="513"/>
        <item x="464"/>
        <item x="286"/>
        <item x="161"/>
        <item x="200"/>
        <item x="520"/>
        <item x="206"/>
        <item x="185"/>
        <item x="321"/>
        <item x="299"/>
        <item x="194"/>
        <item x="288"/>
        <item x="259"/>
        <item x="245"/>
        <item x="207"/>
        <item x="516"/>
        <item x="300"/>
        <item x="419"/>
        <item x="196"/>
        <item x="144"/>
        <item x="208"/>
        <item x="452"/>
        <item x="508"/>
        <item x="6"/>
        <item x="429"/>
        <item x="85"/>
        <item x="218"/>
        <item x="60"/>
        <item x="265"/>
        <item x="360"/>
        <item x="177"/>
        <item x="413"/>
        <item x="333"/>
        <item x="255"/>
        <item x="335"/>
        <item x="48"/>
        <item x="0"/>
        <item x="534"/>
        <item x="261"/>
        <item x="92"/>
        <item x="428"/>
        <item x="93"/>
        <item x="341"/>
        <item x="102"/>
        <item x="394"/>
        <item x="153"/>
        <item x="213"/>
        <item x="109"/>
        <item x="15"/>
        <item x="438"/>
        <item x="262"/>
        <item x="442"/>
        <item x="320"/>
        <item x="344"/>
        <item x="406"/>
        <item x="73"/>
        <item x="434"/>
        <item x="449"/>
        <item x="382"/>
        <item x="32"/>
        <item x="515"/>
        <item x="141"/>
        <item x="487"/>
        <item x="108"/>
        <item x="264"/>
        <item x="476"/>
        <item x="405"/>
        <item x="323"/>
        <item x="343"/>
        <item x="348"/>
        <item x="410"/>
        <item x="186"/>
        <item x="356"/>
        <item x="51"/>
        <item x="485"/>
        <item x="237"/>
        <item x="498"/>
        <item x="465"/>
        <item x="34"/>
        <item x="137"/>
        <item x="38"/>
        <item x="491"/>
        <item x="399"/>
        <item x="504"/>
        <item x="359"/>
        <item x="524"/>
        <item x="147"/>
        <item x="278"/>
        <item x="103"/>
        <item x="28"/>
        <item x="477"/>
        <item x="499"/>
        <item x="366"/>
        <item x="167"/>
        <item x="417"/>
        <item x="222"/>
        <item x="296"/>
        <item x="152"/>
        <item x="433"/>
        <item x="130"/>
        <item x="104"/>
        <item x="480"/>
        <item x="175"/>
        <item x="412"/>
        <item x="472"/>
        <item x="294"/>
        <item x="151"/>
        <item x="486"/>
        <item x="526"/>
        <item x="157"/>
        <item x="331"/>
        <item x="481"/>
        <item x="401"/>
        <item x="67"/>
        <item x="22"/>
        <item x="225"/>
        <item x="30"/>
        <item x="231"/>
        <item x="415"/>
        <item x="180"/>
        <item x="66"/>
        <item x="316"/>
        <item x="509"/>
        <item x="373"/>
        <item x="83"/>
        <item x="95"/>
        <item x="56"/>
        <item x="242"/>
        <item x="7"/>
        <item x="17"/>
        <item x="69"/>
        <item x="170"/>
        <item x="158"/>
        <item x="35"/>
        <item x="290"/>
        <item x="143"/>
        <item x="84"/>
        <item x="107"/>
        <item x="454"/>
        <item x="365"/>
        <item x="280"/>
        <item x="403"/>
        <item x="456"/>
        <item x="495"/>
        <item x="453"/>
        <item x="14"/>
        <item x="3"/>
        <item x="270"/>
        <item x="275"/>
        <item x="304"/>
        <item x="33"/>
        <item x="232"/>
        <item x="314"/>
        <item x="42"/>
        <item x="97"/>
        <item x="105"/>
        <item x="425"/>
        <item x="2"/>
        <item x="521"/>
        <item x="422"/>
        <item x="233"/>
        <item x="250"/>
        <item x="324"/>
        <item x="9"/>
        <item x="375"/>
        <item x="31"/>
        <item x="98"/>
        <item x="492"/>
        <item x="126"/>
        <item x="357"/>
        <item x="64"/>
        <item x="370"/>
        <item x="8"/>
        <item x="156"/>
        <item x="273"/>
        <item x="192"/>
        <item x="125"/>
        <item x="531"/>
        <item x="45"/>
        <item x="525"/>
        <item x="292"/>
        <item x="87"/>
        <item x="26"/>
        <item x="420"/>
        <item x="346"/>
        <item x="396"/>
        <item x="463"/>
        <item x="50"/>
        <item x="182"/>
        <item x="351"/>
        <item x="251"/>
        <item x="256"/>
        <item x="223"/>
        <item x="281"/>
        <item x="455"/>
        <item x="285"/>
        <item x="511"/>
        <item x="79"/>
        <item x="215"/>
        <item x="469"/>
        <item x="530"/>
        <item x="128"/>
        <item x="43"/>
        <item x="430"/>
        <item x="347"/>
        <item x="329"/>
        <item x="345"/>
        <item x="198"/>
        <item x="257"/>
        <item x="289"/>
        <item x="276"/>
        <item x="426"/>
        <item x="230"/>
        <item x="224"/>
        <item x="234"/>
        <item x="512"/>
        <item x="164"/>
        <item x="244"/>
        <item x="482"/>
        <item x="307"/>
        <item x="113"/>
        <item x="211"/>
        <item x="70"/>
        <item x="29"/>
        <item x="518"/>
        <item x="16"/>
        <item x="111"/>
        <item x="374"/>
        <item x="21"/>
        <item x="1"/>
        <item x="240"/>
        <item x="68"/>
        <item x="19"/>
        <item x="122"/>
        <item x="409"/>
        <item x="90"/>
        <item x="279"/>
        <item x="71"/>
        <item x="361"/>
        <item x="332"/>
        <item x="517"/>
        <item x="155"/>
        <item x="238"/>
        <item x="483"/>
        <item x="272"/>
        <item x="336"/>
        <item x="75"/>
        <item x="254"/>
        <item x="106"/>
        <item x="367"/>
        <item x="135"/>
        <item x="408"/>
        <item x="77"/>
        <item x="258"/>
        <item x="12"/>
        <item x="446"/>
        <item x="528"/>
        <item x="349"/>
        <item x="352"/>
        <item x="183"/>
        <item x="506"/>
        <item x="457"/>
        <item x="165"/>
        <item x="484"/>
        <item x="205"/>
        <item x="57"/>
        <item x="301"/>
        <item x="197"/>
        <item x="305"/>
        <item x="390"/>
        <item x="437"/>
        <item x="133"/>
        <item x="295"/>
        <item x="112"/>
        <item x="475"/>
        <item x="523"/>
        <item x="436"/>
        <item x="364"/>
        <item x="519"/>
        <item x="490"/>
        <item x="54"/>
        <item x="191"/>
        <item x="252"/>
        <item x="378"/>
        <item x="59"/>
        <item x="169"/>
        <item x="353"/>
        <item x="441"/>
        <item x="387"/>
        <item x="53"/>
        <item x="212"/>
        <item x="474"/>
        <item x="448"/>
        <item x="444"/>
        <item x="496"/>
        <item x="418"/>
        <item x="505"/>
        <item x="236"/>
        <item x="47"/>
        <item x="507"/>
        <item x="263"/>
        <item x="44"/>
        <item x="239"/>
        <item x="214"/>
        <item x="451"/>
        <item x="23"/>
        <item x="535"/>
        <item x="86"/>
        <item x="131"/>
        <item x="283"/>
        <item x="178"/>
        <item x="466"/>
        <item x="501"/>
        <item x="313"/>
        <item x="96"/>
        <item x="138"/>
        <item x="414"/>
        <item x="488"/>
        <item x="312"/>
        <item x="293"/>
        <item x="532"/>
        <item x="176"/>
        <item x="159"/>
        <item x="174"/>
        <item x="101"/>
        <item x="173"/>
        <item x="376"/>
        <item x="462"/>
        <item x="5"/>
        <item x="139"/>
        <item x="226"/>
        <item x="411"/>
        <item x="435"/>
        <item x="11"/>
        <item x="187"/>
        <item x="493"/>
        <item x="402"/>
        <item x="181"/>
        <item x="306"/>
        <item x="127"/>
        <item x="467"/>
        <item x="355"/>
        <item x="468"/>
        <item x="423"/>
        <item x="110"/>
        <item x="246"/>
        <item x="432"/>
        <item x="424"/>
        <item x="46"/>
        <item x="72"/>
        <item x="160"/>
        <item x="431"/>
        <item x="384"/>
        <item x="328"/>
        <item x="327"/>
        <item x="514"/>
        <item x="228"/>
        <item x="168"/>
        <item x="473"/>
        <item x="350"/>
        <item x="163"/>
        <item x="80"/>
        <item x="317"/>
        <item x="121"/>
        <item x="235"/>
        <item x="383"/>
        <item x="195"/>
        <item x="318"/>
        <item x="267"/>
        <item x="298"/>
        <item x="334"/>
        <item x="36"/>
        <item x="379"/>
        <item x="284"/>
        <item x="119"/>
        <item x="76"/>
        <item x="388"/>
        <item x="24"/>
        <item x="55"/>
        <item x="529"/>
        <item x="386"/>
        <item x="330"/>
        <item x="74"/>
        <item x="489"/>
        <item x="148"/>
        <item x="421"/>
        <item x="358"/>
        <item x="309"/>
        <item x="210"/>
        <item x="385"/>
        <item x="134"/>
        <item x="458"/>
        <item x="308"/>
        <item x="201"/>
        <item x="37"/>
        <item x="10"/>
        <item x="269"/>
        <item x="146"/>
        <item x="243"/>
        <item x="202"/>
        <item x="49"/>
        <item x="145"/>
        <item x="459"/>
        <item x="172"/>
        <item x="52"/>
        <item x="380"/>
        <item x="61"/>
        <item x="533"/>
        <item x="199"/>
        <item x="247"/>
        <item x="184"/>
        <item x="297"/>
        <item x="58"/>
        <item x="389"/>
        <item x="445"/>
        <item x="450"/>
        <item x="39"/>
        <item x="227"/>
        <item x="362"/>
        <item x="325"/>
        <item x="116"/>
        <item x="123"/>
        <item x="100"/>
        <item x="150"/>
        <item x="471"/>
        <item x="78"/>
        <item x="287"/>
        <item x="217"/>
        <item x="149"/>
        <item x="249"/>
        <item x="268"/>
        <item x="209"/>
        <item x="397"/>
        <item x="99"/>
        <item x="497"/>
        <item x="13"/>
        <item x="81"/>
        <item x="27"/>
        <item t="default"/>
      </items>
    </pivotField>
    <pivotField showAll="0"/>
    <pivotField showAll="0">
      <items count="6">
        <item x="1"/>
        <item h="1" x="3"/>
        <item h="1" x="2"/>
        <item h="1" x="4"/>
        <item h="1" x="0"/>
        <item t="default"/>
      </items>
    </pivotField>
    <pivotField showAll="0"/>
    <pivotField axis="axisRow" showAll="0">
      <items count="6">
        <item h="1" x="1"/>
        <item h="1" x="3"/>
        <item x="0"/>
        <item h="1" x="2"/>
        <item h="1" x="4"/>
        <item t="default"/>
      </items>
    </pivotField>
    <pivotField showAll="0"/>
    <pivotField numFmtId="165" showAll="0"/>
    <pivotField numFmtId="166" showAll="0"/>
    <pivotField dataField="1" numFmtId="165" showAll="0"/>
    <pivotField numFmtId="165" showAll="0"/>
    <pivotField showAll="0">
      <items count="4">
        <item h="1" x="1"/>
        <item x="2"/>
        <item h="1"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2">
    <i>
      <x v="2"/>
    </i>
    <i t="grand">
      <x/>
    </i>
  </rowItems>
  <colItems count="1">
    <i/>
  </colItems>
  <dataFields count="1">
    <dataField name="Sum of Total Revenue"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30AFFC7-67FD-4E14-8A27-6E3A019853F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D1:E3" firstHeaderRow="1" firstDataRow="1" firstDataCol="1"/>
  <pivotFields count="15">
    <pivotField showAll="0"/>
    <pivotField numFmtId="164" showAll="0">
      <items count="537">
        <item x="338"/>
        <item x="337"/>
        <item x="371"/>
        <item x="392"/>
        <item x="510"/>
        <item x="41"/>
        <item x="114"/>
        <item x="303"/>
        <item x="162"/>
        <item x="190"/>
        <item x="372"/>
        <item x="4"/>
        <item x="319"/>
        <item x="315"/>
        <item x="142"/>
        <item x="65"/>
        <item x="395"/>
        <item x="404"/>
        <item x="91"/>
        <item x="171"/>
        <item x="342"/>
        <item x="219"/>
        <item x="503"/>
        <item x="277"/>
        <item x="377"/>
        <item x="154"/>
        <item x="439"/>
        <item x="136"/>
        <item x="216"/>
        <item x="253"/>
        <item x="179"/>
        <item x="447"/>
        <item x="443"/>
        <item x="302"/>
        <item x="416"/>
        <item x="339"/>
        <item x="502"/>
        <item x="229"/>
        <item x="368"/>
        <item x="204"/>
        <item x="478"/>
        <item x="271"/>
        <item x="460"/>
        <item x="340"/>
        <item x="89"/>
        <item x="20"/>
        <item x="62"/>
        <item x="117"/>
        <item x="118"/>
        <item x="266"/>
        <item x="221"/>
        <item x="63"/>
        <item x="470"/>
        <item x="124"/>
        <item x="88"/>
        <item x="363"/>
        <item x="248"/>
        <item x="115"/>
        <item x="391"/>
        <item x="527"/>
        <item x="274"/>
        <item x="132"/>
        <item x="241"/>
        <item x="440"/>
        <item x="140"/>
        <item x="494"/>
        <item x="393"/>
        <item x="400"/>
        <item x="369"/>
        <item x="479"/>
        <item x="291"/>
        <item x="189"/>
        <item x="500"/>
        <item x="326"/>
        <item x="522"/>
        <item x="94"/>
        <item x="310"/>
        <item x="203"/>
        <item x="220"/>
        <item x="188"/>
        <item x="322"/>
        <item x="461"/>
        <item x="166"/>
        <item x="427"/>
        <item x="311"/>
        <item x="120"/>
        <item x="18"/>
        <item x="260"/>
        <item x="381"/>
        <item x="40"/>
        <item x="282"/>
        <item x="398"/>
        <item x="193"/>
        <item x="354"/>
        <item x="407"/>
        <item x="129"/>
        <item x="25"/>
        <item x="82"/>
        <item x="513"/>
        <item x="464"/>
        <item x="286"/>
        <item x="161"/>
        <item x="200"/>
        <item x="520"/>
        <item x="206"/>
        <item x="185"/>
        <item x="321"/>
        <item x="299"/>
        <item x="194"/>
        <item x="288"/>
        <item x="259"/>
        <item x="245"/>
        <item x="207"/>
        <item x="516"/>
        <item x="300"/>
        <item x="419"/>
        <item x="196"/>
        <item x="144"/>
        <item x="208"/>
        <item x="452"/>
        <item x="508"/>
        <item x="6"/>
        <item x="429"/>
        <item x="85"/>
        <item x="218"/>
        <item x="60"/>
        <item x="265"/>
        <item x="360"/>
        <item x="177"/>
        <item x="413"/>
        <item x="333"/>
        <item x="255"/>
        <item x="335"/>
        <item x="48"/>
        <item x="0"/>
        <item x="534"/>
        <item x="261"/>
        <item x="92"/>
        <item x="428"/>
        <item x="93"/>
        <item x="341"/>
        <item x="102"/>
        <item x="394"/>
        <item x="153"/>
        <item x="213"/>
        <item x="109"/>
        <item x="15"/>
        <item x="438"/>
        <item x="262"/>
        <item x="442"/>
        <item x="320"/>
        <item x="344"/>
        <item x="406"/>
        <item x="73"/>
        <item x="434"/>
        <item x="449"/>
        <item x="382"/>
        <item x="32"/>
        <item x="515"/>
        <item x="141"/>
        <item x="487"/>
        <item x="108"/>
        <item x="264"/>
        <item x="476"/>
        <item x="405"/>
        <item x="323"/>
        <item x="343"/>
        <item x="348"/>
        <item x="410"/>
        <item x="186"/>
        <item x="356"/>
        <item x="51"/>
        <item x="485"/>
        <item x="237"/>
        <item x="498"/>
        <item x="465"/>
        <item x="34"/>
        <item x="137"/>
        <item x="38"/>
        <item x="491"/>
        <item x="399"/>
        <item x="504"/>
        <item x="359"/>
        <item x="524"/>
        <item x="147"/>
        <item x="278"/>
        <item x="103"/>
        <item x="28"/>
        <item x="477"/>
        <item x="499"/>
        <item x="366"/>
        <item x="167"/>
        <item x="417"/>
        <item x="222"/>
        <item x="296"/>
        <item x="152"/>
        <item x="433"/>
        <item x="130"/>
        <item x="104"/>
        <item x="480"/>
        <item x="175"/>
        <item x="412"/>
        <item x="472"/>
        <item x="294"/>
        <item x="151"/>
        <item x="486"/>
        <item x="526"/>
        <item x="157"/>
        <item x="331"/>
        <item x="481"/>
        <item x="401"/>
        <item x="67"/>
        <item x="22"/>
        <item x="225"/>
        <item x="30"/>
        <item x="231"/>
        <item x="415"/>
        <item x="180"/>
        <item x="66"/>
        <item x="316"/>
        <item x="509"/>
        <item x="373"/>
        <item x="83"/>
        <item x="95"/>
        <item x="56"/>
        <item x="242"/>
        <item x="7"/>
        <item x="17"/>
        <item x="69"/>
        <item x="170"/>
        <item x="158"/>
        <item x="35"/>
        <item x="290"/>
        <item x="143"/>
        <item x="84"/>
        <item x="107"/>
        <item x="454"/>
        <item x="365"/>
        <item x="280"/>
        <item x="403"/>
        <item x="456"/>
        <item x="495"/>
        <item x="453"/>
        <item x="14"/>
        <item x="3"/>
        <item x="270"/>
        <item x="275"/>
        <item x="304"/>
        <item x="33"/>
        <item x="232"/>
        <item x="314"/>
        <item x="42"/>
        <item x="97"/>
        <item x="105"/>
        <item x="425"/>
        <item x="2"/>
        <item x="521"/>
        <item x="422"/>
        <item x="233"/>
        <item x="250"/>
        <item x="324"/>
        <item x="9"/>
        <item x="375"/>
        <item x="31"/>
        <item x="98"/>
        <item x="492"/>
        <item x="126"/>
        <item x="357"/>
        <item x="64"/>
        <item x="370"/>
        <item x="8"/>
        <item x="156"/>
        <item x="273"/>
        <item x="192"/>
        <item x="125"/>
        <item x="531"/>
        <item x="45"/>
        <item x="525"/>
        <item x="292"/>
        <item x="87"/>
        <item x="26"/>
        <item x="420"/>
        <item x="346"/>
        <item x="396"/>
        <item x="463"/>
        <item x="50"/>
        <item x="182"/>
        <item x="351"/>
        <item x="251"/>
        <item x="256"/>
        <item x="223"/>
        <item x="281"/>
        <item x="455"/>
        <item x="285"/>
        <item x="511"/>
        <item x="79"/>
        <item x="215"/>
        <item x="469"/>
        <item x="530"/>
        <item x="128"/>
        <item x="43"/>
        <item x="430"/>
        <item x="347"/>
        <item x="329"/>
        <item x="345"/>
        <item x="198"/>
        <item x="257"/>
        <item x="289"/>
        <item x="276"/>
        <item x="426"/>
        <item x="230"/>
        <item x="224"/>
        <item x="234"/>
        <item x="512"/>
        <item x="164"/>
        <item x="244"/>
        <item x="482"/>
        <item x="307"/>
        <item x="113"/>
        <item x="211"/>
        <item x="70"/>
        <item x="29"/>
        <item x="518"/>
        <item x="16"/>
        <item x="111"/>
        <item x="374"/>
        <item x="21"/>
        <item x="1"/>
        <item x="240"/>
        <item x="68"/>
        <item x="19"/>
        <item x="122"/>
        <item x="409"/>
        <item x="90"/>
        <item x="279"/>
        <item x="71"/>
        <item x="361"/>
        <item x="332"/>
        <item x="517"/>
        <item x="155"/>
        <item x="238"/>
        <item x="483"/>
        <item x="272"/>
        <item x="336"/>
        <item x="75"/>
        <item x="254"/>
        <item x="106"/>
        <item x="367"/>
        <item x="135"/>
        <item x="408"/>
        <item x="77"/>
        <item x="258"/>
        <item x="12"/>
        <item x="446"/>
        <item x="528"/>
        <item x="349"/>
        <item x="352"/>
        <item x="183"/>
        <item x="506"/>
        <item x="457"/>
        <item x="165"/>
        <item x="484"/>
        <item x="205"/>
        <item x="57"/>
        <item x="301"/>
        <item x="197"/>
        <item x="305"/>
        <item x="390"/>
        <item x="437"/>
        <item x="133"/>
        <item x="295"/>
        <item x="112"/>
        <item x="475"/>
        <item x="523"/>
        <item x="436"/>
        <item x="364"/>
        <item x="519"/>
        <item x="490"/>
        <item x="54"/>
        <item x="191"/>
        <item x="252"/>
        <item x="378"/>
        <item x="59"/>
        <item x="169"/>
        <item x="353"/>
        <item x="441"/>
        <item x="387"/>
        <item x="53"/>
        <item x="212"/>
        <item x="474"/>
        <item x="448"/>
        <item x="444"/>
        <item x="496"/>
        <item x="418"/>
        <item x="505"/>
        <item x="236"/>
        <item x="47"/>
        <item x="507"/>
        <item x="263"/>
        <item x="44"/>
        <item x="239"/>
        <item x="214"/>
        <item x="451"/>
        <item x="23"/>
        <item x="535"/>
        <item x="86"/>
        <item x="131"/>
        <item x="283"/>
        <item x="178"/>
        <item x="466"/>
        <item x="501"/>
        <item x="313"/>
        <item x="96"/>
        <item x="138"/>
        <item x="414"/>
        <item x="488"/>
        <item x="312"/>
        <item x="293"/>
        <item x="532"/>
        <item x="176"/>
        <item x="159"/>
        <item x="174"/>
        <item x="101"/>
        <item x="173"/>
        <item x="376"/>
        <item x="462"/>
        <item x="5"/>
        <item x="139"/>
        <item x="226"/>
        <item x="411"/>
        <item x="435"/>
        <item x="11"/>
        <item x="187"/>
        <item x="493"/>
        <item x="402"/>
        <item x="181"/>
        <item x="306"/>
        <item x="127"/>
        <item x="467"/>
        <item x="355"/>
        <item x="468"/>
        <item x="423"/>
        <item x="110"/>
        <item x="246"/>
        <item x="432"/>
        <item x="424"/>
        <item x="46"/>
        <item x="72"/>
        <item x="160"/>
        <item x="431"/>
        <item x="384"/>
        <item x="328"/>
        <item x="327"/>
        <item x="514"/>
        <item x="228"/>
        <item x="168"/>
        <item x="473"/>
        <item x="350"/>
        <item x="163"/>
        <item x="80"/>
        <item x="317"/>
        <item x="121"/>
        <item x="235"/>
        <item x="383"/>
        <item x="195"/>
        <item x="318"/>
        <item x="267"/>
        <item x="298"/>
        <item x="334"/>
        <item x="36"/>
        <item x="379"/>
        <item x="284"/>
        <item x="119"/>
        <item x="76"/>
        <item x="388"/>
        <item x="24"/>
        <item x="55"/>
        <item x="529"/>
        <item x="386"/>
        <item x="330"/>
        <item x="74"/>
        <item x="489"/>
        <item x="148"/>
        <item x="421"/>
        <item x="358"/>
        <item x="309"/>
        <item x="210"/>
        <item x="385"/>
        <item x="134"/>
        <item x="458"/>
        <item x="308"/>
        <item x="201"/>
        <item x="37"/>
        <item x="10"/>
        <item x="269"/>
        <item x="146"/>
        <item x="243"/>
        <item x="202"/>
        <item x="49"/>
        <item x="145"/>
        <item x="459"/>
        <item x="172"/>
        <item x="52"/>
        <item x="380"/>
        <item x="61"/>
        <item x="533"/>
        <item x="199"/>
        <item x="247"/>
        <item x="184"/>
        <item x="297"/>
        <item x="58"/>
        <item x="389"/>
        <item x="445"/>
        <item x="450"/>
        <item x="39"/>
        <item x="227"/>
        <item x="362"/>
        <item x="325"/>
        <item x="116"/>
        <item x="123"/>
        <item x="100"/>
        <item x="150"/>
        <item x="471"/>
        <item x="78"/>
        <item x="287"/>
        <item x="217"/>
        <item x="149"/>
        <item x="249"/>
        <item x="268"/>
        <item x="209"/>
        <item x="397"/>
        <item x="99"/>
        <item x="497"/>
        <item x="13"/>
        <item x="81"/>
        <item x="27"/>
        <item t="default"/>
      </items>
    </pivotField>
    <pivotField showAll="0"/>
    <pivotField showAll="0">
      <items count="6">
        <item x="1"/>
        <item h="1" x="3"/>
        <item h="1" x="2"/>
        <item h="1" x="4"/>
        <item h="1" x="0"/>
        <item t="default"/>
      </items>
    </pivotField>
    <pivotField showAll="0"/>
    <pivotField showAll="0">
      <items count="6">
        <item h="1" x="1"/>
        <item h="1" x="3"/>
        <item x="0"/>
        <item h="1" x="2"/>
        <item h="1" x="4"/>
        <item t="default"/>
      </items>
    </pivotField>
    <pivotField showAll="0"/>
    <pivotField numFmtId="165" showAll="0"/>
    <pivotField numFmtId="166" showAll="0"/>
    <pivotField dataField="1" numFmtId="165" showAll="0"/>
    <pivotField numFmtId="165" showAll="0"/>
    <pivotField axis="axisRow" showAll="0">
      <items count="4">
        <item h="1" x="1"/>
        <item x="2"/>
        <item h="1"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2">
    <i>
      <x v="1"/>
    </i>
    <i t="grand">
      <x/>
    </i>
  </rowItems>
  <colItems count="1">
    <i/>
  </colItems>
  <dataFields count="1">
    <dataField name="Sum of Total Revenue" fld="9" baseField="0" baseItem="0" numFmtId="165"/>
  </dataFields>
  <chartFormats count="4">
    <chartFormat chart="21" format="5" series="1">
      <pivotArea type="data" outline="0" fieldPosition="0">
        <references count="1">
          <reference field="4294967294" count="1" selected="0">
            <x v="0"/>
          </reference>
        </references>
      </pivotArea>
    </chartFormat>
    <chartFormat chart="21" format="6">
      <pivotArea type="data" outline="0" fieldPosition="0">
        <references count="2">
          <reference field="4294967294" count="1" selected="0">
            <x v="0"/>
          </reference>
          <reference field="11" count="1" selected="0">
            <x v="0"/>
          </reference>
        </references>
      </pivotArea>
    </chartFormat>
    <chartFormat chart="21" format="7">
      <pivotArea type="data" outline="0" fieldPosition="0">
        <references count="2">
          <reference field="4294967294" count="1" selected="0">
            <x v="0"/>
          </reference>
          <reference field="11" count="1" selected="0">
            <x v="1"/>
          </reference>
        </references>
      </pivotArea>
    </chartFormat>
    <chartFormat chart="21"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E51FE3-5851-4ED8-A672-ED2B97EA9B7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1:B3" firstHeaderRow="1" firstDataRow="1" firstDataCol="1"/>
  <pivotFields count="15">
    <pivotField showAll="0"/>
    <pivotField numFmtId="164" showAll="0">
      <items count="537">
        <item x="338"/>
        <item x="337"/>
        <item x="371"/>
        <item x="392"/>
        <item x="510"/>
        <item x="41"/>
        <item x="114"/>
        <item x="303"/>
        <item x="162"/>
        <item x="190"/>
        <item x="372"/>
        <item x="4"/>
        <item x="319"/>
        <item x="315"/>
        <item x="142"/>
        <item x="65"/>
        <item x="395"/>
        <item x="404"/>
        <item x="91"/>
        <item x="171"/>
        <item x="342"/>
        <item x="219"/>
        <item x="503"/>
        <item x="277"/>
        <item x="377"/>
        <item x="154"/>
        <item x="439"/>
        <item x="136"/>
        <item x="216"/>
        <item x="253"/>
        <item x="179"/>
        <item x="447"/>
        <item x="443"/>
        <item x="302"/>
        <item x="416"/>
        <item x="339"/>
        <item x="502"/>
        <item x="229"/>
        <item x="368"/>
        <item x="204"/>
        <item x="478"/>
        <item x="271"/>
        <item x="460"/>
        <item x="340"/>
        <item x="89"/>
        <item x="20"/>
        <item x="62"/>
        <item x="117"/>
        <item x="118"/>
        <item x="266"/>
        <item x="221"/>
        <item x="63"/>
        <item x="470"/>
        <item x="124"/>
        <item x="88"/>
        <item x="363"/>
        <item x="248"/>
        <item x="115"/>
        <item x="391"/>
        <item x="527"/>
        <item x="274"/>
        <item x="132"/>
        <item x="241"/>
        <item x="440"/>
        <item x="140"/>
        <item x="494"/>
        <item x="393"/>
        <item x="400"/>
        <item x="369"/>
        <item x="479"/>
        <item x="291"/>
        <item x="189"/>
        <item x="500"/>
        <item x="326"/>
        <item x="522"/>
        <item x="94"/>
        <item x="310"/>
        <item x="203"/>
        <item x="220"/>
        <item x="188"/>
        <item x="322"/>
        <item x="461"/>
        <item x="166"/>
        <item x="427"/>
        <item x="311"/>
        <item x="120"/>
        <item x="18"/>
        <item x="260"/>
        <item x="381"/>
        <item x="40"/>
        <item x="282"/>
        <item x="398"/>
        <item x="193"/>
        <item x="354"/>
        <item x="407"/>
        <item x="129"/>
        <item x="25"/>
        <item x="82"/>
        <item x="513"/>
        <item x="464"/>
        <item x="286"/>
        <item x="161"/>
        <item x="200"/>
        <item x="520"/>
        <item x="206"/>
        <item x="185"/>
        <item x="321"/>
        <item x="299"/>
        <item x="194"/>
        <item x="288"/>
        <item x="259"/>
        <item x="245"/>
        <item x="207"/>
        <item x="516"/>
        <item x="300"/>
        <item x="419"/>
        <item x="196"/>
        <item x="144"/>
        <item x="208"/>
        <item x="452"/>
        <item x="508"/>
        <item x="6"/>
        <item x="429"/>
        <item x="85"/>
        <item x="218"/>
        <item x="60"/>
        <item x="265"/>
        <item x="360"/>
        <item x="177"/>
        <item x="413"/>
        <item x="333"/>
        <item x="255"/>
        <item x="335"/>
        <item x="48"/>
        <item x="0"/>
        <item x="534"/>
        <item x="261"/>
        <item x="92"/>
        <item x="428"/>
        <item x="93"/>
        <item x="341"/>
        <item x="102"/>
        <item x="394"/>
        <item x="153"/>
        <item x="213"/>
        <item x="109"/>
        <item x="15"/>
        <item x="438"/>
        <item x="262"/>
        <item x="442"/>
        <item x="320"/>
        <item x="344"/>
        <item x="406"/>
        <item x="73"/>
        <item x="434"/>
        <item x="449"/>
        <item x="382"/>
        <item x="32"/>
        <item x="515"/>
        <item x="141"/>
        <item x="487"/>
        <item x="108"/>
        <item x="264"/>
        <item x="476"/>
        <item x="405"/>
        <item x="323"/>
        <item x="343"/>
        <item x="348"/>
        <item x="410"/>
        <item x="186"/>
        <item x="356"/>
        <item x="51"/>
        <item x="485"/>
        <item x="237"/>
        <item x="498"/>
        <item x="465"/>
        <item x="34"/>
        <item x="137"/>
        <item x="38"/>
        <item x="491"/>
        <item x="399"/>
        <item x="504"/>
        <item x="359"/>
        <item x="524"/>
        <item x="147"/>
        <item x="278"/>
        <item x="103"/>
        <item x="28"/>
        <item x="477"/>
        <item x="499"/>
        <item x="366"/>
        <item x="167"/>
        <item x="417"/>
        <item x="222"/>
        <item x="296"/>
        <item x="152"/>
        <item x="433"/>
        <item x="130"/>
        <item x="104"/>
        <item x="480"/>
        <item x="175"/>
        <item x="412"/>
        <item x="472"/>
        <item x="294"/>
        <item x="151"/>
        <item x="486"/>
        <item x="526"/>
        <item x="157"/>
        <item x="331"/>
        <item x="481"/>
        <item x="401"/>
        <item x="67"/>
        <item x="22"/>
        <item x="225"/>
        <item x="30"/>
        <item x="231"/>
        <item x="415"/>
        <item x="180"/>
        <item x="66"/>
        <item x="316"/>
        <item x="509"/>
        <item x="373"/>
        <item x="83"/>
        <item x="95"/>
        <item x="56"/>
        <item x="242"/>
        <item x="7"/>
        <item x="17"/>
        <item x="69"/>
        <item x="170"/>
        <item x="158"/>
        <item x="35"/>
        <item x="290"/>
        <item x="143"/>
        <item x="84"/>
        <item x="107"/>
        <item x="454"/>
        <item x="365"/>
        <item x="280"/>
        <item x="403"/>
        <item x="456"/>
        <item x="495"/>
        <item x="453"/>
        <item x="14"/>
        <item x="3"/>
        <item x="270"/>
        <item x="275"/>
        <item x="304"/>
        <item x="33"/>
        <item x="232"/>
        <item x="314"/>
        <item x="42"/>
        <item x="97"/>
        <item x="105"/>
        <item x="425"/>
        <item x="2"/>
        <item x="521"/>
        <item x="422"/>
        <item x="233"/>
        <item x="250"/>
        <item x="324"/>
        <item x="9"/>
        <item x="375"/>
        <item x="31"/>
        <item x="98"/>
        <item x="492"/>
        <item x="126"/>
        <item x="357"/>
        <item x="64"/>
        <item x="370"/>
        <item x="8"/>
        <item x="156"/>
        <item x="273"/>
        <item x="192"/>
        <item x="125"/>
        <item x="531"/>
        <item x="45"/>
        <item x="525"/>
        <item x="292"/>
        <item x="87"/>
        <item x="26"/>
        <item x="420"/>
        <item x="346"/>
        <item x="396"/>
        <item x="463"/>
        <item x="50"/>
        <item x="182"/>
        <item x="351"/>
        <item x="251"/>
        <item x="256"/>
        <item x="223"/>
        <item x="281"/>
        <item x="455"/>
        <item x="285"/>
        <item x="511"/>
        <item x="79"/>
        <item x="215"/>
        <item x="469"/>
        <item x="530"/>
        <item x="128"/>
        <item x="43"/>
        <item x="430"/>
        <item x="347"/>
        <item x="329"/>
        <item x="345"/>
        <item x="198"/>
        <item x="257"/>
        <item x="289"/>
        <item x="276"/>
        <item x="426"/>
        <item x="230"/>
        <item x="224"/>
        <item x="234"/>
        <item x="512"/>
        <item x="164"/>
        <item x="244"/>
        <item x="482"/>
        <item x="307"/>
        <item x="113"/>
        <item x="211"/>
        <item x="70"/>
        <item x="29"/>
        <item x="518"/>
        <item x="16"/>
        <item x="111"/>
        <item x="374"/>
        <item x="21"/>
        <item x="1"/>
        <item x="240"/>
        <item x="68"/>
        <item x="19"/>
        <item x="122"/>
        <item x="409"/>
        <item x="90"/>
        <item x="279"/>
        <item x="71"/>
        <item x="361"/>
        <item x="332"/>
        <item x="517"/>
        <item x="155"/>
        <item x="238"/>
        <item x="483"/>
        <item x="272"/>
        <item x="336"/>
        <item x="75"/>
        <item x="254"/>
        <item x="106"/>
        <item x="367"/>
        <item x="135"/>
        <item x="408"/>
        <item x="77"/>
        <item x="258"/>
        <item x="12"/>
        <item x="446"/>
        <item x="528"/>
        <item x="349"/>
        <item x="352"/>
        <item x="183"/>
        <item x="506"/>
        <item x="457"/>
        <item x="165"/>
        <item x="484"/>
        <item x="205"/>
        <item x="57"/>
        <item x="301"/>
        <item x="197"/>
        <item x="305"/>
        <item x="390"/>
        <item x="437"/>
        <item x="133"/>
        <item x="295"/>
        <item x="112"/>
        <item x="475"/>
        <item x="523"/>
        <item x="436"/>
        <item x="364"/>
        <item x="519"/>
        <item x="490"/>
        <item x="54"/>
        <item x="191"/>
        <item x="252"/>
        <item x="378"/>
        <item x="59"/>
        <item x="169"/>
        <item x="353"/>
        <item x="441"/>
        <item x="387"/>
        <item x="53"/>
        <item x="212"/>
        <item x="474"/>
        <item x="448"/>
        <item x="444"/>
        <item x="496"/>
        <item x="418"/>
        <item x="505"/>
        <item x="236"/>
        <item x="47"/>
        <item x="507"/>
        <item x="263"/>
        <item x="44"/>
        <item x="239"/>
        <item x="214"/>
        <item x="451"/>
        <item x="23"/>
        <item x="535"/>
        <item x="86"/>
        <item x="131"/>
        <item x="283"/>
        <item x="178"/>
        <item x="466"/>
        <item x="501"/>
        <item x="313"/>
        <item x="96"/>
        <item x="138"/>
        <item x="414"/>
        <item x="488"/>
        <item x="312"/>
        <item x="293"/>
        <item x="532"/>
        <item x="176"/>
        <item x="159"/>
        <item x="174"/>
        <item x="101"/>
        <item x="173"/>
        <item x="376"/>
        <item x="462"/>
        <item x="5"/>
        <item x="139"/>
        <item x="226"/>
        <item x="411"/>
        <item x="435"/>
        <item x="11"/>
        <item x="187"/>
        <item x="493"/>
        <item x="402"/>
        <item x="181"/>
        <item x="306"/>
        <item x="127"/>
        <item x="467"/>
        <item x="355"/>
        <item x="468"/>
        <item x="423"/>
        <item x="110"/>
        <item x="246"/>
        <item x="432"/>
        <item x="424"/>
        <item x="46"/>
        <item x="72"/>
        <item x="160"/>
        <item x="431"/>
        <item x="384"/>
        <item x="328"/>
        <item x="327"/>
        <item x="514"/>
        <item x="228"/>
        <item x="168"/>
        <item x="473"/>
        <item x="350"/>
        <item x="163"/>
        <item x="80"/>
        <item x="317"/>
        <item x="121"/>
        <item x="235"/>
        <item x="383"/>
        <item x="195"/>
        <item x="318"/>
        <item x="267"/>
        <item x="298"/>
        <item x="334"/>
        <item x="36"/>
        <item x="379"/>
        <item x="284"/>
        <item x="119"/>
        <item x="76"/>
        <item x="388"/>
        <item x="24"/>
        <item x="55"/>
        <item x="529"/>
        <item x="386"/>
        <item x="330"/>
        <item x="74"/>
        <item x="489"/>
        <item x="148"/>
        <item x="421"/>
        <item x="358"/>
        <item x="309"/>
        <item x="210"/>
        <item x="385"/>
        <item x="134"/>
        <item x="458"/>
        <item x="308"/>
        <item x="201"/>
        <item x="37"/>
        <item x="10"/>
        <item x="269"/>
        <item x="146"/>
        <item x="243"/>
        <item x="202"/>
        <item x="49"/>
        <item x="145"/>
        <item x="459"/>
        <item x="172"/>
        <item x="52"/>
        <item x="380"/>
        <item x="61"/>
        <item x="533"/>
        <item x="199"/>
        <item x="247"/>
        <item x="184"/>
        <item x="297"/>
        <item x="58"/>
        <item x="389"/>
        <item x="445"/>
        <item x="450"/>
        <item x="39"/>
        <item x="227"/>
        <item x="362"/>
        <item x="325"/>
        <item x="116"/>
        <item x="123"/>
        <item x="100"/>
        <item x="150"/>
        <item x="471"/>
        <item x="78"/>
        <item x="287"/>
        <item x="217"/>
        <item x="149"/>
        <item x="249"/>
        <item x="268"/>
        <item x="209"/>
        <item x="397"/>
        <item x="99"/>
        <item x="497"/>
        <item x="13"/>
        <item x="81"/>
        <item x="27"/>
        <item t="default"/>
      </items>
    </pivotField>
    <pivotField showAll="0"/>
    <pivotField axis="axisRow" showAll="0">
      <items count="6">
        <item x="1"/>
        <item h="1" x="3"/>
        <item h="1" x="2"/>
        <item h="1" x="4"/>
        <item h="1" x="0"/>
        <item t="default"/>
      </items>
    </pivotField>
    <pivotField showAll="0"/>
    <pivotField showAll="0">
      <items count="6">
        <item h="1" x="1"/>
        <item h="1" x="3"/>
        <item x="0"/>
        <item h="1" x="2"/>
        <item h="1" x="4"/>
        <item t="default"/>
      </items>
    </pivotField>
    <pivotField showAll="0"/>
    <pivotField numFmtId="165" showAll="0"/>
    <pivotField numFmtId="166" showAll="0"/>
    <pivotField dataField="1" numFmtId="165" showAll="0"/>
    <pivotField numFmtId="165" showAll="0"/>
    <pivotField showAll="0">
      <items count="4">
        <item h="1" x="1"/>
        <item x="2"/>
        <item h="1"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i>
    <i t="grand">
      <x/>
    </i>
  </rowItems>
  <colItems count="1">
    <i/>
  </colItems>
  <dataFields count="1">
    <dataField name="Sum of Total Revenue" fld="9" baseField="0" baseItem="0" numFmtId="165"/>
  </dataFields>
  <chartFormats count="1">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F3B78F-9D1B-4E81-921C-1B90F411659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D17:E19" firstHeaderRow="1" firstDataRow="1" firstDataCol="1"/>
  <pivotFields count="15">
    <pivotField showAll="0"/>
    <pivotField numFmtId="164" showAll="0">
      <items count="537">
        <item x="338"/>
        <item x="337"/>
        <item x="371"/>
        <item x="392"/>
        <item x="510"/>
        <item x="41"/>
        <item x="114"/>
        <item x="303"/>
        <item x="162"/>
        <item x="190"/>
        <item x="372"/>
        <item x="4"/>
        <item x="319"/>
        <item x="315"/>
        <item x="142"/>
        <item x="65"/>
        <item x="395"/>
        <item x="404"/>
        <item x="91"/>
        <item x="171"/>
        <item x="342"/>
        <item x="219"/>
        <item x="503"/>
        <item x="277"/>
        <item x="377"/>
        <item x="154"/>
        <item x="439"/>
        <item x="136"/>
        <item x="216"/>
        <item x="253"/>
        <item x="179"/>
        <item x="447"/>
        <item x="443"/>
        <item x="302"/>
        <item x="416"/>
        <item x="339"/>
        <item x="502"/>
        <item x="229"/>
        <item x="368"/>
        <item x="204"/>
        <item x="478"/>
        <item x="271"/>
        <item x="460"/>
        <item x="340"/>
        <item x="89"/>
        <item x="20"/>
        <item x="62"/>
        <item x="117"/>
        <item x="118"/>
        <item x="266"/>
        <item x="221"/>
        <item x="63"/>
        <item x="470"/>
        <item x="124"/>
        <item x="88"/>
        <item x="363"/>
        <item x="248"/>
        <item x="115"/>
        <item x="391"/>
        <item x="527"/>
        <item x="274"/>
        <item x="132"/>
        <item x="241"/>
        <item x="440"/>
        <item x="140"/>
        <item x="494"/>
        <item x="393"/>
        <item x="400"/>
        <item x="369"/>
        <item x="479"/>
        <item x="291"/>
        <item x="189"/>
        <item x="500"/>
        <item x="326"/>
        <item x="522"/>
        <item x="94"/>
        <item x="310"/>
        <item x="203"/>
        <item x="220"/>
        <item x="188"/>
        <item x="322"/>
        <item x="461"/>
        <item x="166"/>
        <item x="427"/>
        <item x="311"/>
        <item x="120"/>
        <item x="18"/>
        <item x="260"/>
        <item x="381"/>
        <item x="40"/>
        <item x="282"/>
        <item x="398"/>
        <item x="193"/>
        <item x="354"/>
        <item x="407"/>
        <item x="129"/>
        <item x="25"/>
        <item x="82"/>
        <item x="513"/>
        <item x="464"/>
        <item x="286"/>
        <item x="161"/>
        <item x="200"/>
        <item x="520"/>
        <item x="206"/>
        <item x="185"/>
        <item x="321"/>
        <item x="299"/>
        <item x="194"/>
        <item x="288"/>
        <item x="259"/>
        <item x="245"/>
        <item x="207"/>
        <item x="516"/>
        <item x="300"/>
        <item x="419"/>
        <item x="196"/>
        <item x="144"/>
        <item x="208"/>
        <item x="452"/>
        <item x="508"/>
        <item x="6"/>
        <item x="429"/>
        <item x="85"/>
        <item x="218"/>
        <item x="60"/>
        <item x="265"/>
        <item x="360"/>
        <item x="177"/>
        <item x="413"/>
        <item x="333"/>
        <item x="255"/>
        <item x="335"/>
        <item x="48"/>
        <item x="0"/>
        <item x="534"/>
        <item x="261"/>
        <item x="92"/>
        <item x="428"/>
        <item x="93"/>
        <item x="341"/>
        <item x="102"/>
        <item x="394"/>
        <item x="153"/>
        <item x="213"/>
        <item x="109"/>
        <item x="15"/>
        <item x="438"/>
        <item x="262"/>
        <item x="442"/>
        <item x="320"/>
        <item x="344"/>
        <item x="406"/>
        <item x="73"/>
        <item x="434"/>
        <item x="449"/>
        <item x="382"/>
        <item x="32"/>
        <item x="515"/>
        <item x="141"/>
        <item x="487"/>
        <item x="108"/>
        <item x="264"/>
        <item x="476"/>
        <item x="405"/>
        <item x="323"/>
        <item x="343"/>
        <item x="348"/>
        <item x="410"/>
        <item x="186"/>
        <item x="356"/>
        <item x="51"/>
        <item x="485"/>
        <item x="237"/>
        <item x="498"/>
        <item x="465"/>
        <item x="34"/>
        <item x="137"/>
        <item x="38"/>
        <item x="491"/>
        <item x="399"/>
        <item x="504"/>
        <item x="359"/>
        <item x="524"/>
        <item x="147"/>
        <item x="278"/>
        <item x="103"/>
        <item x="28"/>
        <item x="477"/>
        <item x="499"/>
        <item x="366"/>
        <item x="167"/>
        <item x="417"/>
        <item x="222"/>
        <item x="296"/>
        <item x="152"/>
        <item x="433"/>
        <item x="130"/>
        <item x="104"/>
        <item x="480"/>
        <item x="175"/>
        <item x="412"/>
        <item x="472"/>
        <item x="294"/>
        <item x="151"/>
        <item x="486"/>
        <item x="526"/>
        <item x="157"/>
        <item x="331"/>
        <item x="481"/>
        <item x="401"/>
        <item x="67"/>
        <item x="22"/>
        <item x="225"/>
        <item x="30"/>
        <item x="231"/>
        <item x="415"/>
        <item x="180"/>
        <item x="66"/>
        <item x="316"/>
        <item x="509"/>
        <item x="373"/>
        <item x="83"/>
        <item x="95"/>
        <item x="56"/>
        <item x="242"/>
        <item x="7"/>
        <item x="17"/>
        <item x="69"/>
        <item x="170"/>
        <item x="158"/>
        <item x="35"/>
        <item x="290"/>
        <item x="143"/>
        <item x="84"/>
        <item x="107"/>
        <item x="454"/>
        <item x="365"/>
        <item x="280"/>
        <item x="403"/>
        <item x="456"/>
        <item x="495"/>
        <item x="453"/>
        <item x="14"/>
        <item x="3"/>
        <item x="270"/>
        <item x="275"/>
        <item x="304"/>
        <item x="33"/>
        <item x="232"/>
        <item x="314"/>
        <item x="42"/>
        <item x="97"/>
        <item x="105"/>
        <item x="425"/>
        <item x="2"/>
        <item x="521"/>
        <item x="422"/>
        <item x="233"/>
        <item x="250"/>
        <item x="324"/>
        <item x="9"/>
        <item x="375"/>
        <item x="31"/>
        <item x="98"/>
        <item x="492"/>
        <item x="126"/>
        <item x="357"/>
        <item x="64"/>
        <item x="370"/>
        <item x="8"/>
        <item x="156"/>
        <item x="273"/>
        <item x="192"/>
        <item x="125"/>
        <item x="531"/>
        <item x="45"/>
        <item x="525"/>
        <item x="292"/>
        <item x="87"/>
        <item x="26"/>
        <item x="420"/>
        <item x="346"/>
        <item x="396"/>
        <item x="463"/>
        <item x="50"/>
        <item x="182"/>
        <item x="351"/>
        <item x="251"/>
        <item x="256"/>
        <item x="223"/>
        <item x="281"/>
        <item x="455"/>
        <item x="285"/>
        <item x="511"/>
        <item x="79"/>
        <item x="215"/>
        <item x="469"/>
        <item x="530"/>
        <item x="128"/>
        <item x="43"/>
        <item x="430"/>
        <item x="347"/>
        <item x="329"/>
        <item x="345"/>
        <item x="198"/>
        <item x="257"/>
        <item x="289"/>
        <item x="276"/>
        <item x="426"/>
        <item x="230"/>
        <item x="224"/>
        <item x="234"/>
        <item x="512"/>
        <item x="164"/>
        <item x="244"/>
        <item x="482"/>
        <item x="307"/>
        <item x="113"/>
        <item x="211"/>
        <item x="70"/>
        <item x="29"/>
        <item x="518"/>
        <item x="16"/>
        <item x="111"/>
        <item x="374"/>
        <item x="21"/>
        <item x="1"/>
        <item x="240"/>
        <item x="68"/>
        <item x="19"/>
        <item x="122"/>
        <item x="409"/>
        <item x="90"/>
        <item x="279"/>
        <item x="71"/>
        <item x="361"/>
        <item x="332"/>
        <item x="517"/>
        <item x="155"/>
        <item x="238"/>
        <item x="483"/>
        <item x="272"/>
        <item x="336"/>
        <item x="75"/>
        <item x="254"/>
        <item x="106"/>
        <item x="367"/>
        <item x="135"/>
        <item x="408"/>
        <item x="77"/>
        <item x="258"/>
        <item x="12"/>
        <item x="446"/>
        <item x="528"/>
        <item x="349"/>
        <item x="352"/>
        <item x="183"/>
        <item x="506"/>
        <item x="457"/>
        <item x="165"/>
        <item x="484"/>
        <item x="205"/>
        <item x="57"/>
        <item x="301"/>
        <item x="197"/>
        <item x="305"/>
        <item x="390"/>
        <item x="437"/>
        <item x="133"/>
        <item x="295"/>
        <item x="112"/>
        <item x="475"/>
        <item x="523"/>
        <item x="436"/>
        <item x="364"/>
        <item x="519"/>
        <item x="490"/>
        <item x="54"/>
        <item x="191"/>
        <item x="252"/>
        <item x="378"/>
        <item x="59"/>
        <item x="169"/>
        <item x="353"/>
        <item x="441"/>
        <item x="387"/>
        <item x="53"/>
        <item x="212"/>
        <item x="474"/>
        <item x="448"/>
        <item x="444"/>
        <item x="496"/>
        <item x="418"/>
        <item x="505"/>
        <item x="236"/>
        <item x="47"/>
        <item x="507"/>
        <item x="263"/>
        <item x="44"/>
        <item x="239"/>
        <item x="214"/>
        <item x="451"/>
        <item x="23"/>
        <item x="535"/>
        <item x="86"/>
        <item x="131"/>
        <item x="283"/>
        <item x="178"/>
        <item x="466"/>
        <item x="501"/>
        <item x="313"/>
        <item x="96"/>
        <item x="138"/>
        <item x="414"/>
        <item x="488"/>
        <item x="312"/>
        <item x="293"/>
        <item x="532"/>
        <item x="176"/>
        <item x="159"/>
        <item x="174"/>
        <item x="101"/>
        <item x="173"/>
        <item x="376"/>
        <item x="462"/>
        <item x="5"/>
        <item x="139"/>
        <item x="226"/>
        <item x="411"/>
        <item x="435"/>
        <item x="11"/>
        <item x="187"/>
        <item x="493"/>
        <item x="402"/>
        <item x="181"/>
        <item x="306"/>
        <item x="127"/>
        <item x="467"/>
        <item x="355"/>
        <item x="468"/>
        <item x="423"/>
        <item x="110"/>
        <item x="246"/>
        <item x="432"/>
        <item x="424"/>
        <item x="46"/>
        <item x="72"/>
        <item x="160"/>
        <item x="431"/>
        <item x="384"/>
        <item x="328"/>
        <item x="327"/>
        <item x="514"/>
        <item x="228"/>
        <item x="168"/>
        <item x="473"/>
        <item x="350"/>
        <item x="163"/>
        <item x="80"/>
        <item x="317"/>
        <item x="121"/>
        <item x="235"/>
        <item x="383"/>
        <item x="195"/>
        <item x="318"/>
        <item x="267"/>
        <item x="298"/>
        <item x="334"/>
        <item x="36"/>
        <item x="379"/>
        <item x="284"/>
        <item x="119"/>
        <item x="76"/>
        <item x="388"/>
        <item x="24"/>
        <item x="55"/>
        <item x="529"/>
        <item x="386"/>
        <item x="330"/>
        <item x="74"/>
        <item x="489"/>
        <item x="148"/>
        <item x="421"/>
        <item x="358"/>
        <item x="309"/>
        <item x="210"/>
        <item x="385"/>
        <item x="134"/>
        <item x="458"/>
        <item x="308"/>
        <item x="201"/>
        <item x="37"/>
        <item x="10"/>
        <item x="269"/>
        <item x="146"/>
        <item x="243"/>
        <item x="202"/>
        <item x="49"/>
        <item x="145"/>
        <item x="459"/>
        <item x="172"/>
        <item x="52"/>
        <item x="380"/>
        <item x="61"/>
        <item x="533"/>
        <item x="199"/>
        <item x="247"/>
        <item x="184"/>
        <item x="297"/>
        <item x="58"/>
        <item x="389"/>
        <item x="445"/>
        <item x="450"/>
        <item x="39"/>
        <item x="227"/>
        <item x="362"/>
        <item x="325"/>
        <item x="116"/>
        <item x="123"/>
        <item x="100"/>
        <item x="150"/>
        <item x="471"/>
        <item x="78"/>
        <item x="287"/>
        <item x="217"/>
        <item x="149"/>
        <item x="249"/>
        <item x="268"/>
        <item x="209"/>
        <item x="397"/>
        <item x="99"/>
        <item x="497"/>
        <item x="13"/>
        <item x="81"/>
        <item x="27"/>
        <item t="default"/>
      </items>
    </pivotField>
    <pivotField showAll="0"/>
    <pivotField showAll="0">
      <items count="6">
        <item x="1"/>
        <item h="1" x="3"/>
        <item h="1" x="2"/>
        <item h="1" x="4"/>
        <item h="1" x="0"/>
        <item t="default"/>
      </items>
    </pivotField>
    <pivotField showAll="0"/>
    <pivotField axis="axisRow" showAll="0">
      <items count="6">
        <item h="1" x="1"/>
        <item h="1" x="3"/>
        <item x="0"/>
        <item h="1" x="2"/>
        <item h="1" x="4"/>
        <item t="default"/>
      </items>
    </pivotField>
    <pivotField showAll="0"/>
    <pivotField numFmtId="165" showAll="0"/>
    <pivotField numFmtId="166" showAll="0"/>
    <pivotField numFmtId="165" showAll="0"/>
    <pivotField dataField="1" numFmtId="165" showAll="0"/>
    <pivotField showAll="0">
      <items count="4">
        <item h="1" x="1"/>
        <item x="2"/>
        <item h="1"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2">
    <i>
      <x v="2"/>
    </i>
    <i t="grand">
      <x/>
    </i>
  </rowItems>
  <colItems count="1">
    <i/>
  </colItems>
  <dataFields count="1">
    <dataField name="Sum of Profit" fld="10" baseField="0" baseItem="0" numFmtId="165"/>
  </dataFields>
  <chartFormats count="1">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421625-FC86-4025-B16C-54D40A2004C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7:F10" firstHeaderRow="1" firstDataRow="2" firstDataCol="1"/>
  <pivotFields count="15">
    <pivotField showAll="0"/>
    <pivotField numFmtId="164" showAll="0">
      <items count="537">
        <item x="338"/>
        <item x="337"/>
        <item x="371"/>
        <item x="392"/>
        <item x="510"/>
        <item x="41"/>
        <item x="114"/>
        <item x="303"/>
        <item x="162"/>
        <item x="190"/>
        <item x="372"/>
        <item x="4"/>
        <item x="319"/>
        <item x="315"/>
        <item x="142"/>
        <item x="65"/>
        <item x="395"/>
        <item x="404"/>
        <item x="91"/>
        <item x="171"/>
        <item x="342"/>
        <item x="219"/>
        <item x="503"/>
        <item x="277"/>
        <item x="377"/>
        <item x="154"/>
        <item x="439"/>
        <item x="136"/>
        <item x="216"/>
        <item x="253"/>
        <item x="179"/>
        <item x="447"/>
        <item x="443"/>
        <item x="302"/>
        <item x="416"/>
        <item x="339"/>
        <item x="502"/>
        <item x="229"/>
        <item x="368"/>
        <item x="204"/>
        <item x="478"/>
        <item x="271"/>
        <item x="460"/>
        <item x="340"/>
        <item x="89"/>
        <item x="20"/>
        <item x="62"/>
        <item x="117"/>
        <item x="118"/>
        <item x="266"/>
        <item x="221"/>
        <item x="63"/>
        <item x="470"/>
        <item x="124"/>
        <item x="88"/>
        <item x="363"/>
        <item x="248"/>
        <item x="115"/>
        <item x="391"/>
        <item x="527"/>
        <item x="274"/>
        <item x="132"/>
        <item x="241"/>
        <item x="440"/>
        <item x="140"/>
        <item x="494"/>
        <item x="393"/>
        <item x="400"/>
        <item x="369"/>
        <item x="479"/>
        <item x="291"/>
        <item x="189"/>
        <item x="500"/>
        <item x="326"/>
        <item x="522"/>
        <item x="94"/>
        <item x="310"/>
        <item x="203"/>
        <item x="220"/>
        <item x="188"/>
        <item x="322"/>
        <item x="461"/>
        <item x="166"/>
        <item x="427"/>
        <item x="311"/>
        <item x="120"/>
        <item x="18"/>
        <item x="260"/>
        <item x="381"/>
        <item x="40"/>
        <item x="282"/>
        <item x="398"/>
        <item x="193"/>
        <item x="354"/>
        <item x="407"/>
        <item x="129"/>
        <item x="25"/>
        <item x="82"/>
        <item x="513"/>
        <item x="464"/>
        <item x="286"/>
        <item x="161"/>
        <item x="200"/>
        <item x="520"/>
        <item x="206"/>
        <item x="185"/>
        <item x="321"/>
        <item x="299"/>
        <item x="194"/>
        <item x="288"/>
        <item x="259"/>
        <item x="245"/>
        <item x="207"/>
        <item x="516"/>
        <item x="300"/>
        <item x="419"/>
        <item x="196"/>
        <item x="144"/>
        <item x="208"/>
        <item x="452"/>
        <item x="508"/>
        <item x="6"/>
        <item x="429"/>
        <item x="85"/>
        <item x="218"/>
        <item x="60"/>
        <item x="265"/>
        <item x="360"/>
        <item x="177"/>
        <item x="413"/>
        <item x="333"/>
        <item x="255"/>
        <item x="335"/>
        <item x="48"/>
        <item x="0"/>
        <item x="534"/>
        <item x="261"/>
        <item x="92"/>
        <item x="428"/>
        <item x="93"/>
        <item x="341"/>
        <item x="102"/>
        <item x="394"/>
        <item x="153"/>
        <item x="213"/>
        <item x="109"/>
        <item x="15"/>
        <item x="438"/>
        <item x="262"/>
        <item x="442"/>
        <item x="320"/>
        <item x="344"/>
        <item x="406"/>
        <item x="73"/>
        <item x="434"/>
        <item x="449"/>
        <item x="382"/>
        <item x="32"/>
        <item x="515"/>
        <item x="141"/>
        <item x="487"/>
        <item x="108"/>
        <item x="264"/>
        <item x="476"/>
        <item x="405"/>
        <item x="323"/>
        <item x="343"/>
        <item x="348"/>
        <item x="410"/>
        <item x="186"/>
        <item x="356"/>
        <item x="51"/>
        <item x="485"/>
        <item x="237"/>
        <item x="498"/>
        <item x="465"/>
        <item x="34"/>
        <item x="137"/>
        <item x="38"/>
        <item x="491"/>
        <item x="399"/>
        <item x="504"/>
        <item x="359"/>
        <item x="524"/>
        <item x="147"/>
        <item x="278"/>
        <item x="103"/>
        <item x="28"/>
        <item x="477"/>
        <item x="499"/>
        <item x="366"/>
        <item x="167"/>
        <item x="417"/>
        <item x="222"/>
        <item x="296"/>
        <item x="152"/>
        <item x="433"/>
        <item x="130"/>
        <item x="104"/>
        <item x="480"/>
        <item x="175"/>
        <item x="412"/>
        <item x="472"/>
        <item x="294"/>
        <item x="151"/>
        <item x="486"/>
        <item x="526"/>
        <item x="157"/>
        <item x="331"/>
        <item x="481"/>
        <item x="401"/>
        <item x="67"/>
        <item x="22"/>
        <item x="225"/>
        <item x="30"/>
        <item x="231"/>
        <item x="415"/>
        <item x="180"/>
        <item x="66"/>
        <item x="316"/>
        <item x="509"/>
        <item x="373"/>
        <item x="83"/>
        <item x="95"/>
        <item x="56"/>
        <item x="242"/>
        <item x="7"/>
        <item x="17"/>
        <item x="69"/>
        <item x="170"/>
        <item x="158"/>
        <item x="35"/>
        <item x="290"/>
        <item x="143"/>
        <item x="84"/>
        <item x="107"/>
        <item x="454"/>
        <item x="365"/>
        <item x="280"/>
        <item x="403"/>
        <item x="456"/>
        <item x="495"/>
        <item x="453"/>
        <item x="14"/>
        <item x="3"/>
        <item x="270"/>
        <item x="275"/>
        <item x="304"/>
        <item x="33"/>
        <item x="232"/>
        <item x="314"/>
        <item x="42"/>
        <item x="97"/>
        <item x="105"/>
        <item x="425"/>
        <item x="2"/>
        <item x="521"/>
        <item x="422"/>
        <item x="233"/>
        <item x="250"/>
        <item x="324"/>
        <item x="9"/>
        <item x="375"/>
        <item x="31"/>
        <item x="98"/>
        <item x="492"/>
        <item x="126"/>
        <item x="357"/>
        <item x="64"/>
        <item x="370"/>
        <item x="8"/>
        <item x="156"/>
        <item x="273"/>
        <item x="192"/>
        <item x="125"/>
        <item x="531"/>
        <item x="45"/>
        <item x="525"/>
        <item x="292"/>
        <item x="87"/>
        <item x="26"/>
        <item x="420"/>
        <item x="346"/>
        <item x="396"/>
        <item x="463"/>
        <item x="50"/>
        <item x="182"/>
        <item x="351"/>
        <item x="251"/>
        <item x="256"/>
        <item x="223"/>
        <item x="281"/>
        <item x="455"/>
        <item x="285"/>
        <item x="511"/>
        <item x="79"/>
        <item x="215"/>
        <item x="469"/>
        <item x="530"/>
        <item x="128"/>
        <item x="43"/>
        <item x="430"/>
        <item x="347"/>
        <item x="329"/>
        <item x="345"/>
        <item x="198"/>
        <item x="257"/>
        <item x="289"/>
        <item x="276"/>
        <item x="426"/>
        <item x="230"/>
        <item x="224"/>
        <item x="234"/>
        <item x="512"/>
        <item x="164"/>
        <item x="244"/>
        <item x="482"/>
        <item x="307"/>
        <item x="113"/>
        <item x="211"/>
        <item x="70"/>
        <item x="29"/>
        <item x="518"/>
        <item x="16"/>
        <item x="111"/>
        <item x="374"/>
        <item x="21"/>
        <item x="1"/>
        <item x="240"/>
        <item x="68"/>
        <item x="19"/>
        <item x="122"/>
        <item x="409"/>
        <item x="90"/>
        <item x="279"/>
        <item x="71"/>
        <item x="361"/>
        <item x="332"/>
        <item x="517"/>
        <item x="155"/>
        <item x="238"/>
        <item x="483"/>
        <item x="272"/>
        <item x="336"/>
        <item x="75"/>
        <item x="254"/>
        <item x="106"/>
        <item x="367"/>
        <item x="135"/>
        <item x="408"/>
        <item x="77"/>
        <item x="258"/>
        <item x="12"/>
        <item x="446"/>
        <item x="528"/>
        <item x="349"/>
        <item x="352"/>
        <item x="183"/>
        <item x="506"/>
        <item x="457"/>
        <item x="165"/>
        <item x="484"/>
        <item x="205"/>
        <item x="57"/>
        <item x="301"/>
        <item x="197"/>
        <item x="305"/>
        <item x="390"/>
        <item x="437"/>
        <item x="133"/>
        <item x="295"/>
        <item x="112"/>
        <item x="475"/>
        <item x="523"/>
        <item x="436"/>
        <item x="364"/>
        <item x="519"/>
        <item x="490"/>
        <item x="54"/>
        <item x="191"/>
        <item x="252"/>
        <item x="378"/>
        <item x="59"/>
        <item x="169"/>
        <item x="353"/>
        <item x="441"/>
        <item x="387"/>
        <item x="53"/>
        <item x="212"/>
        <item x="474"/>
        <item x="448"/>
        <item x="444"/>
        <item x="496"/>
        <item x="418"/>
        <item x="505"/>
        <item x="236"/>
        <item x="47"/>
        <item x="507"/>
        <item x="263"/>
        <item x="44"/>
        <item x="239"/>
        <item x="214"/>
        <item x="451"/>
        <item x="23"/>
        <item x="535"/>
        <item x="86"/>
        <item x="131"/>
        <item x="283"/>
        <item x="178"/>
        <item x="466"/>
        <item x="501"/>
        <item x="313"/>
        <item x="96"/>
        <item x="138"/>
        <item x="414"/>
        <item x="488"/>
        <item x="312"/>
        <item x="293"/>
        <item x="532"/>
        <item x="176"/>
        <item x="159"/>
        <item x="174"/>
        <item x="101"/>
        <item x="173"/>
        <item x="376"/>
        <item x="462"/>
        <item x="5"/>
        <item x="139"/>
        <item x="226"/>
        <item x="411"/>
        <item x="435"/>
        <item x="11"/>
        <item x="187"/>
        <item x="493"/>
        <item x="402"/>
        <item x="181"/>
        <item x="306"/>
        <item x="127"/>
        <item x="467"/>
        <item x="355"/>
        <item x="468"/>
        <item x="423"/>
        <item x="110"/>
        <item x="246"/>
        <item x="432"/>
        <item x="424"/>
        <item x="46"/>
        <item x="72"/>
        <item x="160"/>
        <item x="431"/>
        <item x="384"/>
        <item x="328"/>
        <item x="327"/>
        <item x="514"/>
        <item x="228"/>
        <item x="168"/>
        <item x="473"/>
        <item x="350"/>
        <item x="163"/>
        <item x="80"/>
        <item x="317"/>
        <item x="121"/>
        <item x="235"/>
        <item x="383"/>
        <item x="195"/>
        <item x="318"/>
        <item x="267"/>
        <item x="298"/>
        <item x="334"/>
        <item x="36"/>
        <item x="379"/>
        <item x="284"/>
        <item x="119"/>
        <item x="76"/>
        <item x="388"/>
        <item x="24"/>
        <item x="55"/>
        <item x="529"/>
        <item x="386"/>
        <item x="330"/>
        <item x="74"/>
        <item x="489"/>
        <item x="148"/>
        <item x="421"/>
        <item x="358"/>
        <item x="309"/>
        <item x="210"/>
        <item x="385"/>
        <item x="134"/>
        <item x="458"/>
        <item x="308"/>
        <item x="201"/>
        <item x="37"/>
        <item x="10"/>
        <item x="269"/>
        <item x="146"/>
        <item x="243"/>
        <item x="202"/>
        <item x="49"/>
        <item x="145"/>
        <item x="459"/>
        <item x="172"/>
        <item x="52"/>
        <item x="380"/>
        <item x="61"/>
        <item x="533"/>
        <item x="199"/>
        <item x="247"/>
        <item x="184"/>
        <item x="297"/>
        <item x="58"/>
        <item x="389"/>
        <item x="445"/>
        <item x="450"/>
        <item x="39"/>
        <item x="227"/>
        <item x="362"/>
        <item x="325"/>
        <item x="116"/>
        <item x="123"/>
        <item x="100"/>
        <item x="150"/>
        <item x="471"/>
        <item x="78"/>
        <item x="287"/>
        <item x="217"/>
        <item x="149"/>
        <item x="249"/>
        <item x="268"/>
        <item x="209"/>
        <item x="397"/>
        <item x="99"/>
        <item x="497"/>
        <item x="13"/>
        <item x="81"/>
        <item x="27"/>
        <item t="default"/>
      </items>
    </pivotField>
    <pivotField showAll="0"/>
    <pivotField axis="axisRow" showAll="0">
      <items count="6">
        <item x="1"/>
        <item h="1" x="3"/>
        <item h="1" x="2"/>
        <item h="1" x="4"/>
        <item h="1" x="0"/>
        <item t="default"/>
      </items>
    </pivotField>
    <pivotField showAll="0"/>
    <pivotField axis="axisCol" showAll="0">
      <items count="6">
        <item h="1" x="1"/>
        <item h="1" x="3"/>
        <item x="0"/>
        <item h="1" x="2"/>
        <item h="1" x="4"/>
        <item t="default"/>
      </items>
    </pivotField>
    <pivotField showAll="0"/>
    <pivotField numFmtId="165" showAll="0"/>
    <pivotField numFmtId="166" showAll="0"/>
    <pivotField dataField="1" numFmtId="165" showAll="0"/>
    <pivotField numFmtId="165" showAll="0"/>
    <pivotField showAll="0">
      <items count="4">
        <item h="1" x="1"/>
        <item x="2"/>
        <item h="1"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i>
    <i t="grand">
      <x/>
    </i>
  </rowItems>
  <colFields count="1">
    <field x="5"/>
  </colFields>
  <colItems count="2">
    <i>
      <x v="2"/>
    </i>
    <i t="grand">
      <x/>
    </i>
  </colItems>
  <dataFields count="1">
    <dataField name="Sum of Total Revenue" fld="9"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F0A7FE-D684-4FD3-B93D-0D5B550627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17:B19" firstHeaderRow="1" firstDataRow="1" firstDataCol="1"/>
  <pivotFields count="15">
    <pivotField showAll="0"/>
    <pivotField numFmtId="164" showAll="0">
      <items count="537">
        <item x="338"/>
        <item x="337"/>
        <item x="371"/>
        <item x="392"/>
        <item x="510"/>
        <item x="41"/>
        <item x="114"/>
        <item x="303"/>
        <item x="162"/>
        <item x="190"/>
        <item x="372"/>
        <item x="4"/>
        <item x="319"/>
        <item x="315"/>
        <item x="142"/>
        <item x="65"/>
        <item x="395"/>
        <item x="404"/>
        <item x="91"/>
        <item x="171"/>
        <item x="342"/>
        <item x="219"/>
        <item x="503"/>
        <item x="277"/>
        <item x="377"/>
        <item x="154"/>
        <item x="439"/>
        <item x="136"/>
        <item x="216"/>
        <item x="253"/>
        <item x="179"/>
        <item x="447"/>
        <item x="443"/>
        <item x="302"/>
        <item x="416"/>
        <item x="339"/>
        <item x="502"/>
        <item x="229"/>
        <item x="368"/>
        <item x="204"/>
        <item x="478"/>
        <item x="271"/>
        <item x="460"/>
        <item x="340"/>
        <item x="89"/>
        <item x="20"/>
        <item x="62"/>
        <item x="117"/>
        <item x="118"/>
        <item x="266"/>
        <item x="221"/>
        <item x="63"/>
        <item x="470"/>
        <item x="124"/>
        <item x="88"/>
        <item x="363"/>
        <item x="248"/>
        <item x="115"/>
        <item x="391"/>
        <item x="527"/>
        <item x="274"/>
        <item x="132"/>
        <item x="241"/>
        <item x="440"/>
        <item x="140"/>
        <item x="494"/>
        <item x="393"/>
        <item x="400"/>
        <item x="369"/>
        <item x="479"/>
        <item x="291"/>
        <item x="189"/>
        <item x="500"/>
        <item x="326"/>
        <item x="522"/>
        <item x="94"/>
        <item x="310"/>
        <item x="203"/>
        <item x="220"/>
        <item x="188"/>
        <item x="322"/>
        <item x="461"/>
        <item x="166"/>
        <item x="427"/>
        <item x="311"/>
        <item x="120"/>
        <item x="18"/>
        <item x="260"/>
        <item x="381"/>
        <item x="40"/>
        <item x="282"/>
        <item x="398"/>
        <item x="193"/>
        <item x="354"/>
        <item x="407"/>
        <item x="129"/>
        <item x="25"/>
        <item x="82"/>
        <item x="513"/>
        <item x="464"/>
        <item x="286"/>
        <item x="161"/>
        <item x="200"/>
        <item x="520"/>
        <item x="206"/>
        <item x="185"/>
        <item x="321"/>
        <item x="299"/>
        <item x="194"/>
        <item x="288"/>
        <item x="259"/>
        <item x="245"/>
        <item x="207"/>
        <item x="516"/>
        <item x="300"/>
        <item x="419"/>
        <item x="196"/>
        <item x="144"/>
        <item x="208"/>
        <item x="452"/>
        <item x="508"/>
        <item x="6"/>
        <item x="429"/>
        <item x="85"/>
        <item x="218"/>
        <item x="60"/>
        <item x="265"/>
        <item x="360"/>
        <item x="177"/>
        <item x="413"/>
        <item x="333"/>
        <item x="255"/>
        <item x="335"/>
        <item x="48"/>
        <item x="0"/>
        <item x="534"/>
        <item x="261"/>
        <item x="92"/>
        <item x="428"/>
        <item x="93"/>
        <item x="341"/>
        <item x="102"/>
        <item x="394"/>
        <item x="153"/>
        <item x="213"/>
        <item x="109"/>
        <item x="15"/>
        <item x="438"/>
        <item x="262"/>
        <item x="442"/>
        <item x="320"/>
        <item x="344"/>
        <item x="406"/>
        <item x="73"/>
        <item x="434"/>
        <item x="449"/>
        <item x="382"/>
        <item x="32"/>
        <item x="515"/>
        <item x="141"/>
        <item x="487"/>
        <item x="108"/>
        <item x="264"/>
        <item x="476"/>
        <item x="405"/>
        <item x="323"/>
        <item x="343"/>
        <item x="348"/>
        <item x="410"/>
        <item x="186"/>
        <item x="356"/>
        <item x="51"/>
        <item x="485"/>
        <item x="237"/>
        <item x="498"/>
        <item x="465"/>
        <item x="34"/>
        <item x="137"/>
        <item x="38"/>
        <item x="491"/>
        <item x="399"/>
        <item x="504"/>
        <item x="359"/>
        <item x="524"/>
        <item x="147"/>
        <item x="278"/>
        <item x="103"/>
        <item x="28"/>
        <item x="477"/>
        <item x="499"/>
        <item x="366"/>
        <item x="167"/>
        <item x="417"/>
        <item x="222"/>
        <item x="296"/>
        <item x="152"/>
        <item x="433"/>
        <item x="130"/>
        <item x="104"/>
        <item x="480"/>
        <item x="175"/>
        <item x="412"/>
        <item x="472"/>
        <item x="294"/>
        <item x="151"/>
        <item x="486"/>
        <item x="526"/>
        <item x="157"/>
        <item x="331"/>
        <item x="481"/>
        <item x="401"/>
        <item x="67"/>
        <item x="22"/>
        <item x="225"/>
        <item x="30"/>
        <item x="231"/>
        <item x="415"/>
        <item x="180"/>
        <item x="66"/>
        <item x="316"/>
        <item x="509"/>
        <item x="373"/>
        <item x="83"/>
        <item x="95"/>
        <item x="56"/>
        <item x="242"/>
        <item x="7"/>
        <item x="17"/>
        <item x="69"/>
        <item x="170"/>
        <item x="158"/>
        <item x="35"/>
        <item x="290"/>
        <item x="143"/>
        <item x="84"/>
        <item x="107"/>
        <item x="454"/>
        <item x="365"/>
        <item x="280"/>
        <item x="403"/>
        <item x="456"/>
        <item x="495"/>
        <item x="453"/>
        <item x="14"/>
        <item x="3"/>
        <item x="270"/>
        <item x="275"/>
        <item x="304"/>
        <item x="33"/>
        <item x="232"/>
        <item x="314"/>
        <item x="42"/>
        <item x="97"/>
        <item x="105"/>
        <item x="425"/>
        <item x="2"/>
        <item x="521"/>
        <item x="422"/>
        <item x="233"/>
        <item x="250"/>
        <item x="324"/>
        <item x="9"/>
        <item x="375"/>
        <item x="31"/>
        <item x="98"/>
        <item x="492"/>
        <item x="126"/>
        <item x="357"/>
        <item x="64"/>
        <item x="370"/>
        <item x="8"/>
        <item x="156"/>
        <item x="273"/>
        <item x="192"/>
        <item x="125"/>
        <item x="531"/>
        <item x="45"/>
        <item x="525"/>
        <item x="292"/>
        <item x="87"/>
        <item x="26"/>
        <item x="420"/>
        <item x="346"/>
        <item x="396"/>
        <item x="463"/>
        <item x="50"/>
        <item x="182"/>
        <item x="351"/>
        <item x="251"/>
        <item x="256"/>
        <item x="223"/>
        <item x="281"/>
        <item x="455"/>
        <item x="285"/>
        <item x="511"/>
        <item x="79"/>
        <item x="215"/>
        <item x="469"/>
        <item x="530"/>
        <item x="128"/>
        <item x="43"/>
        <item x="430"/>
        <item x="347"/>
        <item x="329"/>
        <item x="345"/>
        <item x="198"/>
        <item x="257"/>
        <item x="289"/>
        <item x="276"/>
        <item x="426"/>
        <item x="230"/>
        <item x="224"/>
        <item x="234"/>
        <item x="512"/>
        <item x="164"/>
        <item x="244"/>
        <item x="482"/>
        <item x="307"/>
        <item x="113"/>
        <item x="211"/>
        <item x="70"/>
        <item x="29"/>
        <item x="518"/>
        <item x="16"/>
        <item x="111"/>
        <item x="374"/>
        <item x="21"/>
        <item x="1"/>
        <item x="240"/>
        <item x="68"/>
        <item x="19"/>
        <item x="122"/>
        <item x="409"/>
        <item x="90"/>
        <item x="279"/>
        <item x="71"/>
        <item x="361"/>
        <item x="332"/>
        <item x="517"/>
        <item x="155"/>
        <item x="238"/>
        <item x="483"/>
        <item x="272"/>
        <item x="336"/>
        <item x="75"/>
        <item x="254"/>
        <item x="106"/>
        <item x="367"/>
        <item x="135"/>
        <item x="408"/>
        <item x="77"/>
        <item x="258"/>
        <item x="12"/>
        <item x="446"/>
        <item x="528"/>
        <item x="349"/>
        <item x="352"/>
        <item x="183"/>
        <item x="506"/>
        <item x="457"/>
        <item x="165"/>
        <item x="484"/>
        <item x="205"/>
        <item x="57"/>
        <item x="301"/>
        <item x="197"/>
        <item x="305"/>
        <item x="390"/>
        <item x="437"/>
        <item x="133"/>
        <item x="295"/>
        <item x="112"/>
        <item x="475"/>
        <item x="523"/>
        <item x="436"/>
        <item x="364"/>
        <item x="519"/>
        <item x="490"/>
        <item x="54"/>
        <item x="191"/>
        <item x="252"/>
        <item x="378"/>
        <item x="59"/>
        <item x="169"/>
        <item x="353"/>
        <item x="441"/>
        <item x="387"/>
        <item x="53"/>
        <item x="212"/>
        <item x="474"/>
        <item x="448"/>
        <item x="444"/>
        <item x="496"/>
        <item x="418"/>
        <item x="505"/>
        <item x="236"/>
        <item x="47"/>
        <item x="507"/>
        <item x="263"/>
        <item x="44"/>
        <item x="239"/>
        <item x="214"/>
        <item x="451"/>
        <item x="23"/>
        <item x="535"/>
        <item x="86"/>
        <item x="131"/>
        <item x="283"/>
        <item x="178"/>
        <item x="466"/>
        <item x="501"/>
        <item x="313"/>
        <item x="96"/>
        <item x="138"/>
        <item x="414"/>
        <item x="488"/>
        <item x="312"/>
        <item x="293"/>
        <item x="532"/>
        <item x="176"/>
        <item x="159"/>
        <item x="174"/>
        <item x="101"/>
        <item x="173"/>
        <item x="376"/>
        <item x="462"/>
        <item x="5"/>
        <item x="139"/>
        <item x="226"/>
        <item x="411"/>
        <item x="435"/>
        <item x="11"/>
        <item x="187"/>
        <item x="493"/>
        <item x="402"/>
        <item x="181"/>
        <item x="306"/>
        <item x="127"/>
        <item x="467"/>
        <item x="355"/>
        <item x="468"/>
        <item x="423"/>
        <item x="110"/>
        <item x="246"/>
        <item x="432"/>
        <item x="424"/>
        <item x="46"/>
        <item x="72"/>
        <item x="160"/>
        <item x="431"/>
        <item x="384"/>
        <item x="328"/>
        <item x="327"/>
        <item x="514"/>
        <item x="228"/>
        <item x="168"/>
        <item x="473"/>
        <item x="350"/>
        <item x="163"/>
        <item x="80"/>
        <item x="317"/>
        <item x="121"/>
        <item x="235"/>
        <item x="383"/>
        <item x="195"/>
        <item x="318"/>
        <item x="267"/>
        <item x="298"/>
        <item x="334"/>
        <item x="36"/>
        <item x="379"/>
        <item x="284"/>
        <item x="119"/>
        <item x="76"/>
        <item x="388"/>
        <item x="24"/>
        <item x="55"/>
        <item x="529"/>
        <item x="386"/>
        <item x="330"/>
        <item x="74"/>
        <item x="489"/>
        <item x="148"/>
        <item x="421"/>
        <item x="358"/>
        <item x="309"/>
        <item x="210"/>
        <item x="385"/>
        <item x="134"/>
        <item x="458"/>
        <item x="308"/>
        <item x="201"/>
        <item x="37"/>
        <item x="10"/>
        <item x="269"/>
        <item x="146"/>
        <item x="243"/>
        <item x="202"/>
        <item x="49"/>
        <item x="145"/>
        <item x="459"/>
        <item x="172"/>
        <item x="52"/>
        <item x="380"/>
        <item x="61"/>
        <item x="533"/>
        <item x="199"/>
        <item x="247"/>
        <item x="184"/>
        <item x="297"/>
        <item x="58"/>
        <item x="389"/>
        <item x="445"/>
        <item x="450"/>
        <item x="39"/>
        <item x="227"/>
        <item x="362"/>
        <item x="325"/>
        <item x="116"/>
        <item x="123"/>
        <item x="100"/>
        <item x="150"/>
        <item x="471"/>
        <item x="78"/>
        <item x="287"/>
        <item x="217"/>
        <item x="149"/>
        <item x="249"/>
        <item x="268"/>
        <item x="209"/>
        <item x="397"/>
        <item x="99"/>
        <item x="497"/>
        <item x="13"/>
        <item x="81"/>
        <item x="27"/>
        <item t="default"/>
      </items>
    </pivotField>
    <pivotField showAll="0"/>
    <pivotField axis="axisRow" showAll="0">
      <items count="6">
        <item x="1"/>
        <item h="1" x="3"/>
        <item h="1" x="2"/>
        <item h="1" x="4"/>
        <item h="1" x="0"/>
        <item t="default"/>
      </items>
    </pivotField>
    <pivotField showAll="0"/>
    <pivotField showAll="0">
      <items count="6">
        <item h="1" x="1"/>
        <item h="1" x="3"/>
        <item x="0"/>
        <item h="1" x="2"/>
        <item h="1" x="4"/>
        <item t="default"/>
      </items>
    </pivotField>
    <pivotField showAll="0"/>
    <pivotField numFmtId="165" showAll="0"/>
    <pivotField numFmtId="166" showAll="0"/>
    <pivotField numFmtId="165" showAll="0"/>
    <pivotField dataField="1" numFmtId="165" showAll="0"/>
    <pivotField showAll="0">
      <items count="4">
        <item h="1" x="1"/>
        <item x="2"/>
        <item h="1"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2">
    <i>
      <x/>
    </i>
    <i t="grand">
      <x/>
    </i>
  </rowItems>
  <colItems count="1">
    <i/>
  </colItems>
  <dataFields count="1">
    <dataField name="Sum of Profit" fld="10" baseField="0" baseItem="0" numFmtId="165"/>
  </dataFields>
  <chartFormats count="1">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5D7B80B-51B6-4B83-91A5-2E917B21412A}" sourceName="Region">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64195350">
      <items count="5">
        <i x="1" s="1"/>
        <i x="3"/>
        <i x="2"/>
        <i x="4"/>
        <i x="0"/>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D0D50A9D-840B-4336-8F97-17046CE1B598}" sourceName="Category">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64195350">
      <items count="5">
        <i x="1"/>
        <i x="3"/>
        <i x="0" s="1"/>
        <i x="2"/>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4FE385B2-3D3F-4C61-BF6D-C700B5C0EA5D}" sourceName="Ship Mode">
  <pivotTables>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664195350">
      <items count="3">
        <i x="1"/>
        <i x="2"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1D658FD1-44FC-4826-BAC6-973C1F3DBAD8}" cache="Slicer_Region" caption="Region" style="Slicer Style 1" rowHeight="247650"/>
  <slicer name="Category" xr10:uid="{71EEC298-9445-4898-AFA6-7808AE0B3ED5}" cache="Slicer_Category" caption="Category" style="Slicer Style 1" rowHeight="247650"/>
  <slicer name="Ship Mode" xr10:uid="{9EB274CC-7DD2-480C-A08E-FE91447E4004}" cache="Slicer_Ship_Mode" caption="Ship Mode" style="Slicer Style 1"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3BBCCDF-2604-47F9-9659-4E48C39DC6E3}" name="SalesData" displayName="SalesData" ref="A1:L1001" totalsRowShown="0" headerRowDxfId="15" headerRowBorderDxfId="14" tableBorderDxfId="13" totalsRowBorderDxfId="12">
  <autoFilter ref="A1:L1001" xr:uid="{944777A6-9357-4ADC-A5AC-B71990835A07}"/>
  <tableColumns count="12">
    <tableColumn id="1" xr3:uid="{4D49F179-4826-40C6-80F2-AF4E9479722E}" name="Order ID" dataDxfId="11"/>
    <tableColumn id="2" xr3:uid="{68F69DAA-E140-41E6-B2D4-BA629BAC5C82}" name="Order Date" dataDxfId="10"/>
    <tableColumn id="3" xr3:uid="{157C5D8E-AAD4-42D7-A424-AB06894917C4}" name="Customer Name" dataDxfId="9"/>
    <tableColumn id="4" xr3:uid="{18B8B818-5327-41DE-A775-E3C8C481FEC0}" name="Region" dataDxfId="8"/>
    <tableColumn id="5" xr3:uid="{E1965A62-25D0-4332-959A-20DC25460C24}" name="Product Name" dataDxfId="7"/>
    <tableColumn id="6" xr3:uid="{098FB716-B101-445F-A6DA-CE9ABE722AE0}" name="Category" dataDxfId="6"/>
    <tableColumn id="7" xr3:uid="{7ADB9DF1-8604-467F-8167-F4D419D811B0}" name="Quantity" dataDxfId="5"/>
    <tableColumn id="8" xr3:uid="{14770615-25E2-4199-BB61-838456902816}" name="Unit Price" dataDxfId="4"/>
    <tableColumn id="9" xr3:uid="{7D757AD3-8EE5-440E-8671-F7CC9D7327C8}" name="Discount %" dataDxfId="3"/>
    <tableColumn id="10" xr3:uid="{57076EA2-D643-46BC-B46D-6C3D55B04C7D}" name="Total Revenue" dataDxfId="2"/>
    <tableColumn id="11" xr3:uid="{0DB1EADC-BFA3-44CC-B434-28C514E658BD}" name="Profit" dataDxfId="1"/>
    <tableColumn id="12" xr3:uid="{97C4805A-9507-4986-B3D8-73E54690B967}" name="Ship Mod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33D4D-222C-4D7E-9CFE-8FD0E76428CA}">
  <sheetPr codeName="Sheet1"/>
  <dimension ref="A1:L1001"/>
  <sheetViews>
    <sheetView workbookViewId="0">
      <pane ySplit="1" topLeftCell="A2" activePane="bottomLeft" state="frozen"/>
      <selection pane="bottomLeft" activeCell="A5" sqref="A5"/>
    </sheetView>
  </sheetViews>
  <sheetFormatPr defaultRowHeight="14.4" x14ac:dyDescent="0.3"/>
  <cols>
    <col min="1" max="1" width="10.21875" bestFit="1" customWidth="1"/>
    <col min="2" max="2" width="11.88671875" customWidth="1"/>
    <col min="3" max="3" width="19.21875" bestFit="1" customWidth="1"/>
    <col min="4" max="4" width="8.44140625" customWidth="1"/>
    <col min="5" max="5" width="18.5546875" bestFit="1" customWidth="1"/>
    <col min="6" max="6" width="10.21875" customWidth="1"/>
    <col min="7" max="7" width="10" customWidth="1"/>
    <col min="8" max="8" width="11" customWidth="1"/>
    <col min="9" max="9" width="12.109375" customWidth="1"/>
    <col min="10" max="10" width="14.33203125" customWidth="1"/>
    <col min="11" max="11" width="7.44140625" customWidth="1"/>
    <col min="12" max="12" width="11.5546875" customWidth="1"/>
  </cols>
  <sheetData>
    <row r="1" spans="1:12" x14ac:dyDescent="0.3">
      <c r="A1" s="2" t="s">
        <v>0</v>
      </c>
      <c r="B1" s="3" t="s">
        <v>1</v>
      </c>
      <c r="C1" s="3" t="s">
        <v>2</v>
      </c>
      <c r="D1" s="3" t="s">
        <v>3</v>
      </c>
      <c r="E1" s="3" t="s">
        <v>4</v>
      </c>
      <c r="F1" s="3" t="s">
        <v>5</v>
      </c>
      <c r="G1" s="3" t="s">
        <v>6</v>
      </c>
      <c r="H1" s="3" t="s">
        <v>7</v>
      </c>
      <c r="I1" s="3" t="s">
        <v>8</v>
      </c>
      <c r="J1" s="3" t="s">
        <v>9</v>
      </c>
      <c r="K1" s="3" t="s">
        <v>10</v>
      </c>
      <c r="L1" s="4" t="s">
        <v>11</v>
      </c>
    </row>
    <row r="2" spans="1:12" x14ac:dyDescent="0.3">
      <c r="A2" s="5" t="s">
        <v>12</v>
      </c>
      <c r="B2" s="6">
        <v>45476</v>
      </c>
      <c r="C2" s="7" t="s">
        <v>13</v>
      </c>
      <c r="D2" s="7" t="s">
        <v>14</v>
      </c>
      <c r="E2" s="7" t="s">
        <v>15</v>
      </c>
      <c r="F2" s="7" t="s">
        <v>16</v>
      </c>
      <c r="G2" s="7">
        <v>1</v>
      </c>
      <c r="H2" s="8">
        <v>133.59</v>
      </c>
      <c r="I2" s="9">
        <v>25</v>
      </c>
      <c r="J2" s="8">
        <v>100.19</v>
      </c>
      <c r="K2" s="8">
        <v>22.55</v>
      </c>
      <c r="L2" s="10" t="s">
        <v>17</v>
      </c>
    </row>
    <row r="3" spans="1:12" x14ac:dyDescent="0.3">
      <c r="A3" s="5" t="s">
        <v>18</v>
      </c>
      <c r="B3" s="6">
        <v>45727</v>
      </c>
      <c r="C3" s="7" t="s">
        <v>19</v>
      </c>
      <c r="D3" s="7" t="s">
        <v>20</v>
      </c>
      <c r="E3" s="7" t="s">
        <v>21</v>
      </c>
      <c r="F3" s="7" t="s">
        <v>22</v>
      </c>
      <c r="G3" s="7">
        <v>1</v>
      </c>
      <c r="H3" s="8">
        <v>30.64</v>
      </c>
      <c r="I3" s="9">
        <v>0</v>
      </c>
      <c r="J3" s="8">
        <v>30.64</v>
      </c>
      <c r="K3" s="8">
        <v>19.48</v>
      </c>
      <c r="L3" s="10" t="s">
        <v>23</v>
      </c>
    </row>
    <row r="4" spans="1:12" x14ac:dyDescent="0.3">
      <c r="A4" s="5" t="s">
        <v>24</v>
      </c>
      <c r="B4" s="6">
        <v>45632</v>
      </c>
      <c r="C4" s="7" t="s">
        <v>25</v>
      </c>
      <c r="D4" s="7" t="s">
        <v>26</v>
      </c>
      <c r="E4" s="7" t="s">
        <v>27</v>
      </c>
      <c r="F4" s="7" t="s">
        <v>22</v>
      </c>
      <c r="G4" s="7">
        <v>2</v>
      </c>
      <c r="H4" s="8">
        <v>23.36</v>
      </c>
      <c r="I4" s="9">
        <v>10</v>
      </c>
      <c r="J4" s="8">
        <v>42.05</v>
      </c>
      <c r="K4" s="8">
        <v>24.14</v>
      </c>
      <c r="L4" s="10" t="s">
        <v>23</v>
      </c>
    </row>
    <row r="5" spans="1:12" x14ac:dyDescent="0.3">
      <c r="A5" s="5" t="s">
        <v>28</v>
      </c>
      <c r="B5" s="6">
        <v>45620</v>
      </c>
      <c r="C5" s="7" t="s">
        <v>29</v>
      </c>
      <c r="D5" s="7" t="s">
        <v>26</v>
      </c>
      <c r="E5" s="7" t="s">
        <v>30</v>
      </c>
      <c r="F5" s="7" t="s">
        <v>16</v>
      </c>
      <c r="G5" s="7">
        <v>2</v>
      </c>
      <c r="H5" s="8">
        <v>124.59</v>
      </c>
      <c r="I5" s="9">
        <v>5</v>
      </c>
      <c r="J5" s="8">
        <v>236.72</v>
      </c>
      <c r="K5" s="8">
        <v>27.62</v>
      </c>
      <c r="L5" s="10" t="s">
        <v>17</v>
      </c>
    </row>
    <row r="6" spans="1:12" x14ac:dyDescent="0.3">
      <c r="A6" s="5" t="s">
        <v>31</v>
      </c>
      <c r="B6" s="6">
        <v>45305</v>
      </c>
      <c r="C6" s="7" t="s">
        <v>32</v>
      </c>
      <c r="D6" s="7" t="s">
        <v>20</v>
      </c>
      <c r="E6" s="7" t="s">
        <v>33</v>
      </c>
      <c r="F6" s="7" t="s">
        <v>16</v>
      </c>
      <c r="G6" s="7">
        <v>2</v>
      </c>
      <c r="H6" s="8">
        <v>63.76</v>
      </c>
      <c r="I6" s="9">
        <v>0</v>
      </c>
      <c r="J6" s="8">
        <v>127.52</v>
      </c>
      <c r="K6" s="8">
        <v>13.01</v>
      </c>
      <c r="L6" s="10" t="s">
        <v>34</v>
      </c>
    </row>
    <row r="7" spans="1:12" x14ac:dyDescent="0.3">
      <c r="A7" s="5" t="s">
        <v>35</v>
      </c>
      <c r="B7" s="6">
        <v>45880</v>
      </c>
      <c r="C7" s="7" t="s">
        <v>36</v>
      </c>
      <c r="D7" s="7" t="s">
        <v>37</v>
      </c>
      <c r="E7" s="7" t="s">
        <v>38</v>
      </c>
      <c r="F7" s="7" t="s">
        <v>39</v>
      </c>
      <c r="G7" s="7">
        <v>1</v>
      </c>
      <c r="H7" s="8">
        <v>52.28</v>
      </c>
      <c r="I7" s="9">
        <v>10</v>
      </c>
      <c r="J7" s="8">
        <v>47.05</v>
      </c>
      <c r="K7" s="8">
        <v>14.03</v>
      </c>
      <c r="L7" s="10" t="s">
        <v>17</v>
      </c>
    </row>
    <row r="8" spans="1:12" x14ac:dyDescent="0.3">
      <c r="A8" s="5" t="s">
        <v>40</v>
      </c>
      <c r="B8" s="6">
        <v>45457</v>
      </c>
      <c r="C8" s="7" t="s">
        <v>41</v>
      </c>
      <c r="D8" s="7" t="s">
        <v>42</v>
      </c>
      <c r="E8" s="7" t="s">
        <v>43</v>
      </c>
      <c r="F8" s="7" t="s">
        <v>22</v>
      </c>
      <c r="G8" s="7">
        <v>1</v>
      </c>
      <c r="H8" s="8">
        <v>12.42</v>
      </c>
      <c r="I8" s="9">
        <v>5</v>
      </c>
      <c r="J8" s="8">
        <v>11.8</v>
      </c>
      <c r="K8" s="8">
        <v>6.64</v>
      </c>
      <c r="L8" s="10" t="s">
        <v>34</v>
      </c>
    </row>
    <row r="9" spans="1:12" x14ac:dyDescent="0.3">
      <c r="A9" s="5" t="s">
        <v>44</v>
      </c>
      <c r="B9" s="6">
        <v>45602</v>
      </c>
      <c r="C9" s="7" t="s">
        <v>45</v>
      </c>
      <c r="D9" s="7" t="s">
        <v>37</v>
      </c>
      <c r="E9" s="7" t="s">
        <v>33</v>
      </c>
      <c r="F9" s="7" t="s">
        <v>16</v>
      </c>
      <c r="G9" s="7">
        <v>5</v>
      </c>
      <c r="H9" s="8">
        <v>123.95</v>
      </c>
      <c r="I9" s="9">
        <v>0</v>
      </c>
      <c r="J9" s="8">
        <v>619.75</v>
      </c>
      <c r="K9" s="8">
        <v>90.31</v>
      </c>
      <c r="L9" s="10" t="s">
        <v>17</v>
      </c>
    </row>
    <row r="10" spans="1:12" x14ac:dyDescent="0.3">
      <c r="A10" s="5" t="s">
        <v>46</v>
      </c>
      <c r="B10" s="6">
        <v>45649</v>
      </c>
      <c r="C10" s="7" t="s">
        <v>47</v>
      </c>
      <c r="D10" s="7" t="s">
        <v>37</v>
      </c>
      <c r="E10" s="7" t="s">
        <v>48</v>
      </c>
      <c r="F10" s="7" t="s">
        <v>49</v>
      </c>
      <c r="G10" s="7">
        <v>1</v>
      </c>
      <c r="H10" s="8">
        <v>45.28</v>
      </c>
      <c r="I10" s="9">
        <v>0</v>
      </c>
      <c r="J10" s="8">
        <v>45.28</v>
      </c>
      <c r="K10" s="8">
        <v>20.92</v>
      </c>
      <c r="L10" s="10" t="s">
        <v>17</v>
      </c>
    </row>
    <row r="11" spans="1:12" x14ac:dyDescent="0.3">
      <c r="A11" s="5" t="s">
        <v>50</v>
      </c>
      <c r="B11" s="6">
        <v>45638</v>
      </c>
      <c r="C11" s="7" t="s">
        <v>51</v>
      </c>
      <c r="D11" s="7" t="s">
        <v>42</v>
      </c>
      <c r="E11" s="7" t="s">
        <v>52</v>
      </c>
      <c r="F11" s="7" t="s">
        <v>39</v>
      </c>
      <c r="G11" s="7">
        <v>1</v>
      </c>
      <c r="H11" s="8">
        <v>36.58</v>
      </c>
      <c r="I11" s="9">
        <v>5</v>
      </c>
      <c r="J11" s="8">
        <v>34.75</v>
      </c>
      <c r="K11" s="8">
        <v>13.46</v>
      </c>
      <c r="L11" s="10" t="s">
        <v>17</v>
      </c>
    </row>
    <row r="12" spans="1:12" x14ac:dyDescent="0.3">
      <c r="A12" s="5" t="s">
        <v>53</v>
      </c>
      <c r="B12" s="6">
        <v>45964</v>
      </c>
      <c r="C12" s="7" t="s">
        <v>54</v>
      </c>
      <c r="D12" s="7" t="s">
        <v>20</v>
      </c>
      <c r="E12" s="7" t="s">
        <v>55</v>
      </c>
      <c r="F12" s="7" t="s">
        <v>16</v>
      </c>
      <c r="G12" s="7">
        <v>2</v>
      </c>
      <c r="H12" s="8">
        <v>85.28</v>
      </c>
      <c r="I12" s="9">
        <v>25</v>
      </c>
      <c r="J12" s="8">
        <v>127.92</v>
      </c>
      <c r="K12" s="8">
        <v>31.54</v>
      </c>
      <c r="L12" s="10" t="s">
        <v>23</v>
      </c>
    </row>
    <row r="13" spans="1:12" x14ac:dyDescent="0.3">
      <c r="A13" s="5" t="s">
        <v>56</v>
      </c>
      <c r="B13" s="6">
        <v>45887</v>
      </c>
      <c r="C13" s="7" t="s">
        <v>57</v>
      </c>
      <c r="D13" s="7" t="s">
        <v>37</v>
      </c>
      <c r="E13" s="7" t="s">
        <v>58</v>
      </c>
      <c r="F13" s="7" t="s">
        <v>49</v>
      </c>
      <c r="G13" s="7">
        <v>3</v>
      </c>
      <c r="H13" s="8">
        <v>87.91</v>
      </c>
      <c r="I13" s="9">
        <v>0</v>
      </c>
      <c r="J13" s="8">
        <v>263.73</v>
      </c>
      <c r="K13" s="8">
        <v>117.07</v>
      </c>
      <c r="L13" s="10" t="s">
        <v>17</v>
      </c>
    </row>
    <row r="14" spans="1:12" x14ac:dyDescent="0.3">
      <c r="A14" s="5" t="s">
        <v>59</v>
      </c>
      <c r="B14" s="6">
        <v>45762</v>
      </c>
      <c r="C14" s="7" t="s">
        <v>60</v>
      </c>
      <c r="D14" s="7" t="s">
        <v>42</v>
      </c>
      <c r="E14" s="7" t="s">
        <v>61</v>
      </c>
      <c r="F14" s="7" t="s">
        <v>39</v>
      </c>
      <c r="G14" s="7">
        <v>3</v>
      </c>
      <c r="H14" s="8">
        <v>61.19</v>
      </c>
      <c r="I14" s="9">
        <v>20</v>
      </c>
      <c r="J14" s="8">
        <v>146.86000000000001</v>
      </c>
      <c r="K14" s="8">
        <v>51.07</v>
      </c>
      <c r="L14" s="10" t="s">
        <v>17</v>
      </c>
    </row>
    <row r="15" spans="1:12" x14ac:dyDescent="0.3">
      <c r="A15" s="5" t="s">
        <v>62</v>
      </c>
      <c r="B15" s="6">
        <v>46019</v>
      </c>
      <c r="C15" s="7" t="s">
        <v>63</v>
      </c>
      <c r="D15" s="7" t="s">
        <v>42</v>
      </c>
      <c r="E15" s="7" t="s">
        <v>64</v>
      </c>
      <c r="F15" s="7" t="s">
        <v>16</v>
      </c>
      <c r="G15" s="7">
        <v>2</v>
      </c>
      <c r="H15" s="8">
        <v>52.43</v>
      </c>
      <c r="I15" s="9">
        <v>10</v>
      </c>
      <c r="J15" s="8">
        <v>94.37</v>
      </c>
      <c r="K15" s="8">
        <v>7.94</v>
      </c>
      <c r="L15" s="10" t="s">
        <v>34</v>
      </c>
    </row>
    <row r="16" spans="1:12" x14ac:dyDescent="0.3">
      <c r="A16" s="5" t="s">
        <v>65</v>
      </c>
      <c r="B16" s="6">
        <v>45619</v>
      </c>
      <c r="C16" s="7" t="s">
        <v>66</v>
      </c>
      <c r="D16" s="7" t="s">
        <v>26</v>
      </c>
      <c r="E16" s="7" t="s">
        <v>15</v>
      </c>
      <c r="F16" s="7" t="s">
        <v>16</v>
      </c>
      <c r="G16" s="7">
        <v>2</v>
      </c>
      <c r="H16" s="8">
        <v>29.03</v>
      </c>
      <c r="I16" s="9">
        <v>0</v>
      </c>
      <c r="J16" s="8">
        <v>58.06</v>
      </c>
      <c r="K16" s="8">
        <v>5.71</v>
      </c>
      <c r="L16" s="10" t="s">
        <v>17</v>
      </c>
    </row>
    <row r="17" spans="1:12" x14ac:dyDescent="0.3">
      <c r="A17" s="5" t="s">
        <v>67</v>
      </c>
      <c r="B17" s="6">
        <v>45498</v>
      </c>
      <c r="C17" s="7" t="s">
        <v>68</v>
      </c>
      <c r="D17" s="7" t="s">
        <v>42</v>
      </c>
      <c r="E17" s="7" t="s">
        <v>69</v>
      </c>
      <c r="F17" s="7" t="s">
        <v>39</v>
      </c>
      <c r="G17" s="7">
        <v>3</v>
      </c>
      <c r="H17" s="8">
        <v>29.58</v>
      </c>
      <c r="I17" s="9">
        <v>20</v>
      </c>
      <c r="J17" s="8">
        <v>70.989999999999995</v>
      </c>
      <c r="K17" s="8">
        <v>26.72</v>
      </c>
      <c r="L17" s="10" t="s">
        <v>23</v>
      </c>
    </row>
    <row r="18" spans="1:12" x14ac:dyDescent="0.3">
      <c r="A18" s="5" t="s">
        <v>70</v>
      </c>
      <c r="B18" s="6">
        <v>45722</v>
      </c>
      <c r="C18" s="7" t="s">
        <v>71</v>
      </c>
      <c r="D18" s="7" t="s">
        <v>37</v>
      </c>
      <c r="E18" s="7" t="s">
        <v>58</v>
      </c>
      <c r="F18" s="7" t="s">
        <v>49</v>
      </c>
      <c r="G18" s="7">
        <v>3</v>
      </c>
      <c r="H18" s="8">
        <v>63.3</v>
      </c>
      <c r="I18" s="9">
        <v>15</v>
      </c>
      <c r="J18" s="8">
        <v>161.41</v>
      </c>
      <c r="K18" s="8">
        <v>60.19</v>
      </c>
      <c r="L18" s="10" t="s">
        <v>23</v>
      </c>
    </row>
    <row r="19" spans="1:12" x14ac:dyDescent="0.3">
      <c r="A19" s="5" t="s">
        <v>72</v>
      </c>
      <c r="B19" s="6">
        <v>45603</v>
      </c>
      <c r="C19" s="7" t="s">
        <v>73</v>
      </c>
      <c r="D19" s="7" t="s">
        <v>26</v>
      </c>
      <c r="E19" s="7" t="s">
        <v>74</v>
      </c>
      <c r="F19" s="7" t="s">
        <v>75</v>
      </c>
      <c r="G19" s="7">
        <v>1</v>
      </c>
      <c r="H19" s="8">
        <v>49.73</v>
      </c>
      <c r="I19" s="9">
        <v>25</v>
      </c>
      <c r="J19" s="8">
        <v>37.299999999999997</v>
      </c>
      <c r="K19" s="8">
        <v>11.53</v>
      </c>
      <c r="L19" s="10" t="s">
        <v>23</v>
      </c>
    </row>
    <row r="20" spans="1:12" x14ac:dyDescent="0.3">
      <c r="A20" s="5" t="s">
        <v>76</v>
      </c>
      <c r="B20" s="6">
        <v>45410</v>
      </c>
      <c r="C20" s="7" t="s">
        <v>77</v>
      </c>
      <c r="D20" s="7" t="s">
        <v>37</v>
      </c>
      <c r="E20" s="7" t="s">
        <v>61</v>
      </c>
      <c r="F20" s="7" t="s">
        <v>39</v>
      </c>
      <c r="G20" s="7">
        <v>3</v>
      </c>
      <c r="H20" s="8">
        <v>25.92</v>
      </c>
      <c r="I20" s="9">
        <v>5</v>
      </c>
      <c r="J20" s="8">
        <v>73.87</v>
      </c>
      <c r="K20" s="8">
        <v>29.16</v>
      </c>
      <c r="L20" s="10" t="s">
        <v>23</v>
      </c>
    </row>
    <row r="21" spans="1:12" x14ac:dyDescent="0.3">
      <c r="A21" s="5" t="s">
        <v>78</v>
      </c>
      <c r="B21" s="6">
        <v>45733</v>
      </c>
      <c r="C21" s="7" t="s">
        <v>79</v>
      </c>
      <c r="D21" s="7" t="s">
        <v>20</v>
      </c>
      <c r="E21" s="7" t="s">
        <v>80</v>
      </c>
      <c r="F21" s="7" t="s">
        <v>16</v>
      </c>
      <c r="G21" s="7">
        <v>3</v>
      </c>
      <c r="H21" s="8">
        <v>145.80000000000001</v>
      </c>
      <c r="I21" s="9">
        <v>15</v>
      </c>
      <c r="J21" s="8">
        <v>371.79</v>
      </c>
      <c r="K21" s="8">
        <v>37.26</v>
      </c>
      <c r="L21" s="10" t="s">
        <v>17</v>
      </c>
    </row>
    <row r="22" spans="1:12" x14ac:dyDescent="0.3">
      <c r="A22" s="5" t="s">
        <v>81</v>
      </c>
      <c r="B22" s="6">
        <v>45358</v>
      </c>
      <c r="C22" s="7" t="s">
        <v>82</v>
      </c>
      <c r="D22" s="7" t="s">
        <v>26</v>
      </c>
      <c r="E22" s="7" t="s">
        <v>83</v>
      </c>
      <c r="F22" s="7" t="s">
        <v>22</v>
      </c>
      <c r="G22" s="7">
        <v>3</v>
      </c>
      <c r="H22" s="8">
        <v>26.14</v>
      </c>
      <c r="I22" s="9">
        <v>15</v>
      </c>
      <c r="J22" s="8">
        <v>66.66</v>
      </c>
      <c r="K22" s="8">
        <v>30.63</v>
      </c>
      <c r="L22" s="10" t="s">
        <v>17</v>
      </c>
    </row>
    <row r="23" spans="1:12" x14ac:dyDescent="0.3">
      <c r="A23" s="5" t="s">
        <v>84</v>
      </c>
      <c r="B23" s="6">
        <v>45726</v>
      </c>
      <c r="C23" s="7" t="s">
        <v>85</v>
      </c>
      <c r="D23" s="7" t="s">
        <v>37</v>
      </c>
      <c r="E23" s="7" t="s">
        <v>74</v>
      </c>
      <c r="F23" s="7" t="s">
        <v>75</v>
      </c>
      <c r="G23" s="7">
        <v>1</v>
      </c>
      <c r="H23" s="8">
        <v>19.97</v>
      </c>
      <c r="I23" s="9">
        <v>0</v>
      </c>
      <c r="J23" s="8">
        <v>19.97</v>
      </c>
      <c r="K23" s="8">
        <v>6.25</v>
      </c>
      <c r="L23" s="10" t="s">
        <v>34</v>
      </c>
    </row>
    <row r="24" spans="1:12" x14ac:dyDescent="0.3">
      <c r="A24" s="5" t="s">
        <v>86</v>
      </c>
      <c r="B24" s="6">
        <v>45583</v>
      </c>
      <c r="C24" s="7" t="s">
        <v>87</v>
      </c>
      <c r="D24" s="7" t="s">
        <v>37</v>
      </c>
      <c r="E24" s="7" t="s">
        <v>88</v>
      </c>
      <c r="F24" s="7" t="s">
        <v>22</v>
      </c>
      <c r="G24" s="7">
        <v>2</v>
      </c>
      <c r="H24" s="8">
        <v>32.479999999999997</v>
      </c>
      <c r="I24" s="9">
        <v>5</v>
      </c>
      <c r="J24" s="8">
        <v>61.71</v>
      </c>
      <c r="K24" s="8">
        <v>35.799999999999997</v>
      </c>
      <c r="L24" s="10" t="s">
        <v>17</v>
      </c>
    </row>
    <row r="25" spans="1:12" x14ac:dyDescent="0.3">
      <c r="A25" s="5" t="s">
        <v>89</v>
      </c>
      <c r="B25" s="6">
        <v>45849</v>
      </c>
      <c r="C25" s="7" t="s">
        <v>90</v>
      </c>
      <c r="D25" s="7" t="s">
        <v>14</v>
      </c>
      <c r="E25" s="7" t="s">
        <v>91</v>
      </c>
      <c r="F25" s="7" t="s">
        <v>49</v>
      </c>
      <c r="G25" s="7">
        <v>3</v>
      </c>
      <c r="H25" s="8">
        <v>49.67</v>
      </c>
      <c r="I25" s="9">
        <v>0</v>
      </c>
      <c r="J25" s="8">
        <v>149.01</v>
      </c>
      <c r="K25" s="8">
        <v>73.92</v>
      </c>
      <c r="L25" s="10" t="s">
        <v>17</v>
      </c>
    </row>
    <row r="26" spans="1:12" x14ac:dyDescent="0.3">
      <c r="A26" s="5" t="s">
        <v>92</v>
      </c>
      <c r="B26" s="6">
        <v>45944</v>
      </c>
      <c r="C26" s="7" t="s">
        <v>93</v>
      </c>
      <c r="D26" s="7" t="s">
        <v>37</v>
      </c>
      <c r="E26" s="7" t="s">
        <v>94</v>
      </c>
      <c r="F26" s="7" t="s">
        <v>75</v>
      </c>
      <c r="G26" s="7">
        <v>1</v>
      </c>
      <c r="H26" s="8">
        <v>52.7</v>
      </c>
      <c r="I26" s="9">
        <v>10</v>
      </c>
      <c r="J26" s="8">
        <v>47.43</v>
      </c>
      <c r="K26" s="8">
        <v>7.69</v>
      </c>
      <c r="L26" s="10" t="s">
        <v>23</v>
      </c>
    </row>
    <row r="27" spans="1:12" x14ac:dyDescent="0.3">
      <c r="A27" s="5" t="s">
        <v>95</v>
      </c>
      <c r="B27" s="6">
        <v>45423</v>
      </c>
      <c r="C27" s="7" t="s">
        <v>96</v>
      </c>
      <c r="D27" s="7" t="s">
        <v>14</v>
      </c>
      <c r="E27" s="7" t="s">
        <v>83</v>
      </c>
      <c r="F27" s="7" t="s">
        <v>22</v>
      </c>
      <c r="G27" s="7">
        <v>2</v>
      </c>
      <c r="H27" s="8">
        <v>29.09</v>
      </c>
      <c r="I27" s="9">
        <v>10</v>
      </c>
      <c r="J27" s="8">
        <v>52.36</v>
      </c>
      <c r="K27" s="8">
        <v>23.51</v>
      </c>
      <c r="L27" s="10" t="s">
        <v>17</v>
      </c>
    </row>
    <row r="28" spans="1:12" x14ac:dyDescent="0.3">
      <c r="A28" s="5" t="s">
        <v>97</v>
      </c>
      <c r="B28" s="6">
        <v>45664</v>
      </c>
      <c r="C28" s="7" t="s">
        <v>98</v>
      </c>
      <c r="D28" s="7" t="s">
        <v>14</v>
      </c>
      <c r="E28" s="7" t="s">
        <v>21</v>
      </c>
      <c r="F28" s="7" t="s">
        <v>22</v>
      </c>
      <c r="G28" s="7">
        <v>1</v>
      </c>
      <c r="H28" s="8">
        <v>46.94</v>
      </c>
      <c r="I28" s="9">
        <v>25</v>
      </c>
      <c r="J28" s="8">
        <v>35.21</v>
      </c>
      <c r="K28" s="8">
        <v>19.91</v>
      </c>
      <c r="L28" s="10" t="s">
        <v>23</v>
      </c>
    </row>
    <row r="29" spans="1:12" x14ac:dyDescent="0.3">
      <c r="A29" s="5" t="s">
        <v>99</v>
      </c>
      <c r="B29" s="6">
        <v>46021</v>
      </c>
      <c r="C29" s="7" t="s">
        <v>100</v>
      </c>
      <c r="D29" s="7" t="s">
        <v>42</v>
      </c>
      <c r="E29" s="7" t="s">
        <v>61</v>
      </c>
      <c r="F29" s="7" t="s">
        <v>39</v>
      </c>
      <c r="G29" s="7">
        <v>1</v>
      </c>
      <c r="H29" s="8">
        <v>59.59</v>
      </c>
      <c r="I29" s="9">
        <v>20</v>
      </c>
      <c r="J29" s="8">
        <v>47.67</v>
      </c>
      <c r="K29" s="8">
        <v>15.67</v>
      </c>
      <c r="L29" s="10" t="s">
        <v>23</v>
      </c>
    </row>
    <row r="30" spans="1:12" x14ac:dyDescent="0.3">
      <c r="A30" s="5" t="s">
        <v>101</v>
      </c>
      <c r="B30" s="6">
        <v>45620</v>
      </c>
      <c r="C30" s="7" t="s">
        <v>102</v>
      </c>
      <c r="D30" s="7" t="s">
        <v>37</v>
      </c>
      <c r="E30" s="7" t="s">
        <v>48</v>
      </c>
      <c r="F30" s="7" t="s">
        <v>49</v>
      </c>
      <c r="G30" s="7">
        <v>1</v>
      </c>
      <c r="H30" s="8">
        <v>31.5</v>
      </c>
      <c r="I30" s="9">
        <v>0</v>
      </c>
      <c r="J30" s="8">
        <v>31.5</v>
      </c>
      <c r="K30" s="8">
        <v>9.74</v>
      </c>
      <c r="L30" s="10" t="s">
        <v>23</v>
      </c>
    </row>
    <row r="31" spans="1:12" x14ac:dyDescent="0.3">
      <c r="A31" s="5" t="s">
        <v>103</v>
      </c>
      <c r="B31" s="6">
        <v>45551</v>
      </c>
      <c r="C31" s="7" t="s">
        <v>104</v>
      </c>
      <c r="D31" s="7" t="s">
        <v>14</v>
      </c>
      <c r="E31" s="7" t="s">
        <v>105</v>
      </c>
      <c r="F31" s="7" t="s">
        <v>39</v>
      </c>
      <c r="G31" s="7">
        <v>1</v>
      </c>
      <c r="H31" s="8">
        <v>51.84</v>
      </c>
      <c r="I31" s="9">
        <v>0</v>
      </c>
      <c r="J31" s="8">
        <v>51.84</v>
      </c>
      <c r="K31" s="8">
        <v>15.75</v>
      </c>
      <c r="L31" s="10" t="s">
        <v>17</v>
      </c>
    </row>
    <row r="32" spans="1:12" x14ac:dyDescent="0.3">
      <c r="A32" s="5" t="s">
        <v>106</v>
      </c>
      <c r="B32" s="6">
        <v>45638</v>
      </c>
      <c r="C32" s="7" t="s">
        <v>107</v>
      </c>
      <c r="D32" s="7" t="s">
        <v>26</v>
      </c>
      <c r="E32" s="7" t="s">
        <v>108</v>
      </c>
      <c r="F32" s="7" t="s">
        <v>75</v>
      </c>
      <c r="G32" s="7">
        <v>2</v>
      </c>
      <c r="H32" s="8">
        <v>50.9</v>
      </c>
      <c r="I32" s="9">
        <v>0</v>
      </c>
      <c r="J32" s="8">
        <v>101.8</v>
      </c>
      <c r="K32" s="8">
        <v>23.24</v>
      </c>
      <c r="L32" s="10" t="s">
        <v>23</v>
      </c>
    </row>
    <row r="33" spans="1:12" x14ac:dyDescent="0.3">
      <c r="A33" s="5" t="s">
        <v>109</v>
      </c>
      <c r="B33" s="6">
        <v>45720</v>
      </c>
      <c r="C33" s="7" t="s">
        <v>110</v>
      </c>
      <c r="D33" s="7" t="s">
        <v>20</v>
      </c>
      <c r="E33" s="7" t="s">
        <v>111</v>
      </c>
      <c r="F33" s="7" t="s">
        <v>49</v>
      </c>
      <c r="G33" s="7">
        <v>3</v>
      </c>
      <c r="H33" s="8">
        <v>74.78</v>
      </c>
      <c r="I33" s="9">
        <v>25</v>
      </c>
      <c r="J33" s="8">
        <v>168.26</v>
      </c>
      <c r="K33" s="8">
        <v>73.87</v>
      </c>
      <c r="L33" s="10" t="s">
        <v>23</v>
      </c>
    </row>
    <row r="34" spans="1:12" x14ac:dyDescent="0.3">
      <c r="A34" s="5" t="s">
        <v>112</v>
      </c>
      <c r="B34" s="6">
        <v>45585</v>
      </c>
      <c r="C34" s="7" t="s">
        <v>113</v>
      </c>
      <c r="D34" s="7" t="s">
        <v>20</v>
      </c>
      <c r="E34" s="7" t="s">
        <v>94</v>
      </c>
      <c r="F34" s="7" t="s">
        <v>75</v>
      </c>
      <c r="G34" s="7">
        <v>2</v>
      </c>
      <c r="H34" s="8">
        <v>16.010000000000002</v>
      </c>
      <c r="I34" s="9">
        <v>0</v>
      </c>
      <c r="J34" s="8">
        <v>32.020000000000003</v>
      </c>
      <c r="K34" s="8">
        <v>5.12</v>
      </c>
      <c r="L34" s="10" t="s">
        <v>23</v>
      </c>
    </row>
    <row r="35" spans="1:12" x14ac:dyDescent="0.3">
      <c r="A35" s="5" t="s">
        <v>114</v>
      </c>
      <c r="B35" s="6">
        <v>45640</v>
      </c>
      <c r="C35" s="7" t="s">
        <v>115</v>
      </c>
      <c r="D35" s="7" t="s">
        <v>37</v>
      </c>
      <c r="E35" s="7" t="s">
        <v>64</v>
      </c>
      <c r="F35" s="7" t="s">
        <v>16</v>
      </c>
      <c r="G35" s="7">
        <v>3</v>
      </c>
      <c r="H35" s="8">
        <v>131.26</v>
      </c>
      <c r="I35" s="9">
        <v>0</v>
      </c>
      <c r="J35" s="8">
        <v>393.78</v>
      </c>
      <c r="K35" s="8">
        <v>57.16</v>
      </c>
      <c r="L35" s="10" t="s">
        <v>34</v>
      </c>
    </row>
    <row r="36" spans="1:12" x14ac:dyDescent="0.3">
      <c r="A36" s="5" t="s">
        <v>116</v>
      </c>
      <c r="B36" s="6">
        <v>45511</v>
      </c>
      <c r="C36" s="7" t="s">
        <v>117</v>
      </c>
      <c r="D36" s="7" t="s">
        <v>42</v>
      </c>
      <c r="E36" s="7" t="s">
        <v>118</v>
      </c>
      <c r="F36" s="7" t="s">
        <v>49</v>
      </c>
      <c r="G36" s="7">
        <v>1</v>
      </c>
      <c r="H36" s="8">
        <v>20.170000000000002</v>
      </c>
      <c r="I36" s="9">
        <v>0</v>
      </c>
      <c r="J36" s="8">
        <v>20.170000000000002</v>
      </c>
      <c r="K36" s="8">
        <v>10.49</v>
      </c>
      <c r="L36" s="10" t="s">
        <v>17</v>
      </c>
    </row>
    <row r="37" spans="1:12" x14ac:dyDescent="0.3">
      <c r="A37" s="5" t="s">
        <v>119</v>
      </c>
      <c r="B37" s="6">
        <v>45625</v>
      </c>
      <c r="C37" s="7" t="s">
        <v>120</v>
      </c>
      <c r="D37" s="7" t="s">
        <v>20</v>
      </c>
      <c r="E37" s="7" t="s">
        <v>15</v>
      </c>
      <c r="F37" s="7" t="s">
        <v>16</v>
      </c>
      <c r="G37" s="7">
        <v>2</v>
      </c>
      <c r="H37" s="8">
        <v>44.76</v>
      </c>
      <c r="I37" s="9">
        <v>20</v>
      </c>
      <c r="J37" s="8">
        <v>71.62</v>
      </c>
      <c r="K37" s="8">
        <v>9.39</v>
      </c>
      <c r="L37" s="10" t="s">
        <v>34</v>
      </c>
    </row>
    <row r="38" spans="1:12" x14ac:dyDescent="0.3">
      <c r="A38" s="5" t="s">
        <v>121</v>
      </c>
      <c r="B38" s="6">
        <v>45539</v>
      </c>
      <c r="C38" s="7" t="s">
        <v>122</v>
      </c>
      <c r="D38" s="7" t="s">
        <v>42</v>
      </c>
      <c r="E38" s="7" t="s">
        <v>33</v>
      </c>
      <c r="F38" s="7" t="s">
        <v>16</v>
      </c>
      <c r="G38" s="7">
        <v>3</v>
      </c>
      <c r="H38" s="8">
        <v>104.06</v>
      </c>
      <c r="I38" s="9">
        <v>5</v>
      </c>
      <c r="J38" s="8">
        <v>296.57</v>
      </c>
      <c r="K38" s="8">
        <v>35.950000000000003</v>
      </c>
      <c r="L38" s="10" t="s">
        <v>17</v>
      </c>
    </row>
    <row r="39" spans="1:12" x14ac:dyDescent="0.3">
      <c r="A39" s="5" t="s">
        <v>123</v>
      </c>
      <c r="B39" s="6">
        <v>45607</v>
      </c>
      <c r="C39" s="7" t="s">
        <v>124</v>
      </c>
      <c r="D39" s="7" t="s">
        <v>26</v>
      </c>
      <c r="E39" s="7" t="s">
        <v>69</v>
      </c>
      <c r="F39" s="7" t="s">
        <v>39</v>
      </c>
      <c r="G39" s="7">
        <v>1</v>
      </c>
      <c r="H39" s="8">
        <v>70.66</v>
      </c>
      <c r="I39" s="9">
        <v>0</v>
      </c>
      <c r="J39" s="8">
        <v>70.66</v>
      </c>
      <c r="K39" s="8">
        <v>27.92</v>
      </c>
      <c r="L39" s="10" t="s">
        <v>23</v>
      </c>
    </row>
    <row r="40" spans="1:12" x14ac:dyDescent="0.3">
      <c r="A40" s="5" t="s">
        <v>125</v>
      </c>
      <c r="B40" s="6">
        <v>45938</v>
      </c>
      <c r="C40" s="7" t="s">
        <v>126</v>
      </c>
      <c r="D40" s="7" t="s">
        <v>26</v>
      </c>
      <c r="E40" s="7" t="s">
        <v>64</v>
      </c>
      <c r="F40" s="7" t="s">
        <v>16</v>
      </c>
      <c r="G40" s="7">
        <v>2</v>
      </c>
      <c r="H40" s="8">
        <v>109.42</v>
      </c>
      <c r="I40" s="9">
        <v>5</v>
      </c>
      <c r="J40" s="8">
        <v>207.9</v>
      </c>
      <c r="K40" s="8">
        <v>23.71</v>
      </c>
      <c r="L40" s="10" t="s">
        <v>23</v>
      </c>
    </row>
    <row r="41" spans="1:12" x14ac:dyDescent="0.3">
      <c r="A41" s="5" t="s">
        <v>127</v>
      </c>
      <c r="B41" s="6">
        <v>45963</v>
      </c>
      <c r="C41" s="7" t="s">
        <v>128</v>
      </c>
      <c r="D41" s="7" t="s">
        <v>26</v>
      </c>
      <c r="E41" s="7" t="s">
        <v>27</v>
      </c>
      <c r="F41" s="7" t="s">
        <v>22</v>
      </c>
      <c r="G41" s="7">
        <v>2</v>
      </c>
      <c r="H41" s="8">
        <v>32.74</v>
      </c>
      <c r="I41" s="9">
        <v>0</v>
      </c>
      <c r="J41" s="8">
        <v>65.48</v>
      </c>
      <c r="K41" s="8">
        <v>38.89</v>
      </c>
      <c r="L41" s="10" t="s">
        <v>23</v>
      </c>
    </row>
    <row r="42" spans="1:12" x14ac:dyDescent="0.3">
      <c r="A42" s="5" t="s">
        <v>129</v>
      </c>
      <c r="B42" s="6">
        <v>45541</v>
      </c>
      <c r="C42" s="7" t="s">
        <v>130</v>
      </c>
      <c r="D42" s="7" t="s">
        <v>14</v>
      </c>
      <c r="E42" s="7" t="s">
        <v>33</v>
      </c>
      <c r="F42" s="7" t="s">
        <v>16</v>
      </c>
      <c r="G42" s="7">
        <v>2</v>
      </c>
      <c r="H42" s="8">
        <v>64.62</v>
      </c>
      <c r="I42" s="9">
        <v>5</v>
      </c>
      <c r="J42" s="8">
        <v>122.78</v>
      </c>
      <c r="K42" s="8">
        <v>17.12</v>
      </c>
      <c r="L42" s="10" t="s">
        <v>23</v>
      </c>
    </row>
    <row r="43" spans="1:12" x14ac:dyDescent="0.3">
      <c r="A43" s="5" t="s">
        <v>131</v>
      </c>
      <c r="B43" s="6">
        <v>45993</v>
      </c>
      <c r="C43" s="7" t="s">
        <v>132</v>
      </c>
      <c r="D43" s="7" t="s">
        <v>14</v>
      </c>
      <c r="E43" s="7" t="s">
        <v>133</v>
      </c>
      <c r="F43" s="7" t="s">
        <v>75</v>
      </c>
      <c r="G43" s="7">
        <v>2</v>
      </c>
      <c r="H43" s="8">
        <v>15.54</v>
      </c>
      <c r="I43" s="9">
        <v>0</v>
      </c>
      <c r="J43" s="8">
        <v>31.08</v>
      </c>
      <c r="K43" s="8">
        <v>8.59</v>
      </c>
      <c r="L43" s="10" t="s">
        <v>34</v>
      </c>
    </row>
    <row r="44" spans="1:12" x14ac:dyDescent="0.3">
      <c r="A44" s="5" t="s">
        <v>134</v>
      </c>
      <c r="B44" s="6">
        <v>45413</v>
      </c>
      <c r="C44" s="7" t="s">
        <v>135</v>
      </c>
      <c r="D44" s="7" t="s">
        <v>26</v>
      </c>
      <c r="E44" s="7" t="s">
        <v>136</v>
      </c>
      <c r="F44" s="7" t="s">
        <v>75</v>
      </c>
      <c r="G44" s="7">
        <v>3</v>
      </c>
      <c r="H44" s="8">
        <v>36</v>
      </c>
      <c r="I44" s="9">
        <v>0</v>
      </c>
      <c r="J44" s="8">
        <v>108</v>
      </c>
      <c r="K44" s="8">
        <v>28.79</v>
      </c>
      <c r="L44" s="10" t="s">
        <v>34</v>
      </c>
    </row>
    <row r="45" spans="1:12" x14ac:dyDescent="0.3">
      <c r="A45" s="5" t="s">
        <v>137</v>
      </c>
      <c r="B45" s="6">
        <v>45297</v>
      </c>
      <c r="C45" s="7" t="s">
        <v>138</v>
      </c>
      <c r="D45" s="7" t="s">
        <v>37</v>
      </c>
      <c r="E45" s="7" t="s">
        <v>108</v>
      </c>
      <c r="F45" s="7" t="s">
        <v>75</v>
      </c>
      <c r="G45" s="7">
        <v>1</v>
      </c>
      <c r="H45" s="8">
        <v>52.02</v>
      </c>
      <c r="I45" s="9">
        <v>0</v>
      </c>
      <c r="J45" s="8">
        <v>52.02</v>
      </c>
      <c r="K45" s="8">
        <v>17.25</v>
      </c>
      <c r="L45" s="10" t="s">
        <v>17</v>
      </c>
    </row>
    <row r="46" spans="1:12" x14ac:dyDescent="0.3">
      <c r="A46" s="5" t="s">
        <v>139</v>
      </c>
      <c r="B46" s="6">
        <v>45628</v>
      </c>
      <c r="C46" s="7" t="s">
        <v>140</v>
      </c>
      <c r="D46" s="7" t="s">
        <v>20</v>
      </c>
      <c r="E46" s="7" t="s">
        <v>141</v>
      </c>
      <c r="F46" s="7" t="s">
        <v>16</v>
      </c>
      <c r="G46" s="7">
        <v>3</v>
      </c>
      <c r="H46" s="8">
        <v>138.55000000000001</v>
      </c>
      <c r="I46" s="9">
        <v>25</v>
      </c>
      <c r="J46" s="8">
        <v>311.74</v>
      </c>
      <c r="K46" s="8">
        <v>41.77</v>
      </c>
      <c r="L46" s="10" t="s">
        <v>23</v>
      </c>
    </row>
    <row r="47" spans="1:12" x14ac:dyDescent="0.3">
      <c r="A47" s="5" t="s">
        <v>142</v>
      </c>
      <c r="B47" s="6">
        <v>45693</v>
      </c>
      <c r="C47" s="7" t="s">
        <v>143</v>
      </c>
      <c r="D47" s="7" t="s">
        <v>26</v>
      </c>
      <c r="E47" s="7" t="s">
        <v>38</v>
      </c>
      <c r="F47" s="7" t="s">
        <v>39</v>
      </c>
      <c r="G47" s="7">
        <v>2</v>
      </c>
      <c r="H47" s="8">
        <v>27.91</v>
      </c>
      <c r="I47" s="9">
        <v>15</v>
      </c>
      <c r="J47" s="8">
        <v>47.45</v>
      </c>
      <c r="K47" s="8">
        <v>10.11</v>
      </c>
      <c r="L47" s="10" t="s">
        <v>23</v>
      </c>
    </row>
    <row r="48" spans="1:12" x14ac:dyDescent="0.3">
      <c r="A48" s="5" t="s">
        <v>144</v>
      </c>
      <c r="B48" s="6">
        <v>45836</v>
      </c>
      <c r="C48" s="7" t="s">
        <v>145</v>
      </c>
      <c r="D48" s="7" t="s">
        <v>26</v>
      </c>
      <c r="E48" s="7" t="s">
        <v>43</v>
      </c>
      <c r="F48" s="7" t="s">
        <v>22</v>
      </c>
      <c r="G48" s="7">
        <v>2</v>
      </c>
      <c r="H48" s="8">
        <v>30.45</v>
      </c>
      <c r="I48" s="9">
        <v>0</v>
      </c>
      <c r="J48" s="8">
        <v>60.9</v>
      </c>
      <c r="K48" s="8">
        <v>38.43</v>
      </c>
      <c r="L48" s="10" t="s">
        <v>23</v>
      </c>
    </row>
    <row r="49" spans="1:12" x14ac:dyDescent="0.3">
      <c r="A49" s="5" t="s">
        <v>146</v>
      </c>
      <c r="B49" s="6">
        <v>45658</v>
      </c>
      <c r="C49" s="7" t="s">
        <v>147</v>
      </c>
      <c r="D49" s="7" t="s">
        <v>14</v>
      </c>
      <c r="E49" s="7" t="s">
        <v>148</v>
      </c>
      <c r="F49" s="7" t="s">
        <v>16</v>
      </c>
      <c r="G49" s="7">
        <v>1</v>
      </c>
      <c r="H49" s="8">
        <v>54.46</v>
      </c>
      <c r="I49" s="9">
        <v>10</v>
      </c>
      <c r="J49" s="8">
        <v>49.01</v>
      </c>
      <c r="K49" s="8">
        <v>8.35</v>
      </c>
      <c r="L49" s="10" t="s">
        <v>17</v>
      </c>
    </row>
    <row r="50" spans="1:12" x14ac:dyDescent="0.3">
      <c r="A50" s="5" t="s">
        <v>149</v>
      </c>
      <c r="B50" s="6">
        <v>45906</v>
      </c>
      <c r="C50" s="7" t="s">
        <v>150</v>
      </c>
      <c r="D50" s="7" t="s">
        <v>26</v>
      </c>
      <c r="E50" s="7" t="s">
        <v>151</v>
      </c>
      <c r="F50" s="7" t="s">
        <v>39</v>
      </c>
      <c r="G50" s="7">
        <v>3</v>
      </c>
      <c r="H50" s="8">
        <v>44.17</v>
      </c>
      <c r="I50" s="9">
        <v>5</v>
      </c>
      <c r="J50" s="8">
        <v>125.88</v>
      </c>
      <c r="K50" s="8">
        <v>36.479999999999997</v>
      </c>
      <c r="L50" s="10" t="s">
        <v>17</v>
      </c>
    </row>
    <row r="51" spans="1:12" x14ac:dyDescent="0.3">
      <c r="A51" s="5" t="s">
        <v>152</v>
      </c>
      <c r="B51" s="6">
        <v>45831</v>
      </c>
      <c r="C51" s="7" t="s">
        <v>153</v>
      </c>
      <c r="D51" s="7" t="s">
        <v>14</v>
      </c>
      <c r="E51" s="7" t="s">
        <v>154</v>
      </c>
      <c r="F51" s="7" t="s">
        <v>39</v>
      </c>
      <c r="G51" s="7">
        <v>4</v>
      </c>
      <c r="H51" s="8">
        <v>74.75</v>
      </c>
      <c r="I51" s="9">
        <v>10</v>
      </c>
      <c r="J51" s="8">
        <v>269.10000000000002</v>
      </c>
      <c r="K51" s="8">
        <v>82.35</v>
      </c>
      <c r="L51" s="10" t="s">
        <v>17</v>
      </c>
    </row>
    <row r="52" spans="1:12" x14ac:dyDescent="0.3">
      <c r="A52" s="5" t="s">
        <v>155</v>
      </c>
      <c r="B52" s="6">
        <v>45475</v>
      </c>
      <c r="C52" s="7" t="s">
        <v>156</v>
      </c>
      <c r="D52" s="7" t="s">
        <v>37</v>
      </c>
      <c r="E52" s="7" t="s">
        <v>69</v>
      </c>
      <c r="F52" s="7" t="s">
        <v>39</v>
      </c>
      <c r="G52" s="7">
        <v>1</v>
      </c>
      <c r="H52" s="8">
        <v>71.92</v>
      </c>
      <c r="I52" s="9">
        <v>5</v>
      </c>
      <c r="J52" s="8">
        <v>68.319999999999993</v>
      </c>
      <c r="K52" s="8">
        <v>17.86</v>
      </c>
      <c r="L52" s="10" t="s">
        <v>23</v>
      </c>
    </row>
    <row r="53" spans="1:12" x14ac:dyDescent="0.3">
      <c r="A53" s="5" t="s">
        <v>157</v>
      </c>
      <c r="B53" s="6">
        <v>45969</v>
      </c>
      <c r="C53" s="7" t="s">
        <v>158</v>
      </c>
      <c r="D53" s="7" t="s">
        <v>26</v>
      </c>
      <c r="E53" s="7" t="s">
        <v>83</v>
      </c>
      <c r="F53" s="7" t="s">
        <v>22</v>
      </c>
      <c r="G53" s="7">
        <v>5</v>
      </c>
      <c r="H53" s="8">
        <v>34.380000000000003</v>
      </c>
      <c r="I53" s="9">
        <v>0</v>
      </c>
      <c r="J53" s="8">
        <v>171.9</v>
      </c>
      <c r="K53" s="8">
        <v>92.35</v>
      </c>
      <c r="L53" s="10" t="s">
        <v>17</v>
      </c>
    </row>
    <row r="54" spans="1:12" x14ac:dyDescent="0.3">
      <c r="A54" s="5" t="s">
        <v>159</v>
      </c>
      <c r="B54" s="6">
        <v>45669</v>
      </c>
      <c r="C54" s="7" t="s">
        <v>160</v>
      </c>
      <c r="D54" s="7" t="s">
        <v>14</v>
      </c>
      <c r="E54" s="7" t="s">
        <v>133</v>
      </c>
      <c r="F54" s="7" t="s">
        <v>75</v>
      </c>
      <c r="G54" s="7">
        <v>2</v>
      </c>
      <c r="H54" s="8">
        <v>57.17</v>
      </c>
      <c r="I54" s="9">
        <v>0</v>
      </c>
      <c r="J54" s="8">
        <v>114.34</v>
      </c>
      <c r="K54" s="8">
        <v>31.56</v>
      </c>
      <c r="L54" s="10" t="s">
        <v>23</v>
      </c>
    </row>
    <row r="55" spans="1:12" x14ac:dyDescent="0.3">
      <c r="A55" s="5" t="s">
        <v>161</v>
      </c>
      <c r="B55" s="6">
        <v>45531</v>
      </c>
      <c r="C55" s="7" t="s">
        <v>162</v>
      </c>
      <c r="D55" s="7" t="s">
        <v>42</v>
      </c>
      <c r="E55" s="7" t="s">
        <v>83</v>
      </c>
      <c r="F55" s="7" t="s">
        <v>22</v>
      </c>
      <c r="G55" s="7">
        <v>1</v>
      </c>
      <c r="H55" s="8">
        <v>31.46</v>
      </c>
      <c r="I55" s="9">
        <v>0</v>
      </c>
      <c r="J55" s="8">
        <v>31.46</v>
      </c>
      <c r="K55" s="8">
        <v>14.92</v>
      </c>
      <c r="L55" s="10" t="s">
        <v>23</v>
      </c>
    </row>
    <row r="56" spans="1:12" x14ac:dyDescent="0.3">
      <c r="A56" s="5" t="s">
        <v>163</v>
      </c>
      <c r="B56" s="6">
        <v>45974</v>
      </c>
      <c r="C56" s="7" t="s">
        <v>164</v>
      </c>
      <c r="D56" s="7" t="s">
        <v>20</v>
      </c>
      <c r="E56" s="7" t="s">
        <v>33</v>
      </c>
      <c r="F56" s="7" t="s">
        <v>16</v>
      </c>
      <c r="G56" s="7">
        <v>1</v>
      </c>
      <c r="H56" s="8">
        <v>128.88</v>
      </c>
      <c r="I56" s="9">
        <v>0</v>
      </c>
      <c r="J56" s="8">
        <v>128.88</v>
      </c>
      <c r="K56" s="8">
        <v>23.02</v>
      </c>
      <c r="L56" s="10" t="s">
        <v>17</v>
      </c>
    </row>
    <row r="57" spans="1:12" x14ac:dyDescent="0.3">
      <c r="A57" s="5" t="s">
        <v>165</v>
      </c>
      <c r="B57" s="6">
        <v>45817</v>
      </c>
      <c r="C57" s="7" t="s">
        <v>166</v>
      </c>
      <c r="D57" s="7" t="s">
        <v>37</v>
      </c>
      <c r="E57" s="7" t="s">
        <v>91</v>
      </c>
      <c r="F57" s="7" t="s">
        <v>49</v>
      </c>
      <c r="G57" s="7">
        <v>2</v>
      </c>
      <c r="H57" s="8">
        <v>88.79</v>
      </c>
      <c r="I57" s="9">
        <v>10</v>
      </c>
      <c r="J57" s="8">
        <v>159.82</v>
      </c>
      <c r="K57" s="8">
        <v>54.49</v>
      </c>
      <c r="L57" s="10" t="s">
        <v>23</v>
      </c>
    </row>
    <row r="58" spans="1:12" x14ac:dyDescent="0.3">
      <c r="A58" s="5" t="s">
        <v>167</v>
      </c>
      <c r="B58" s="6">
        <v>45802</v>
      </c>
      <c r="C58" s="7" t="s">
        <v>168</v>
      </c>
      <c r="D58" s="7" t="s">
        <v>42</v>
      </c>
      <c r="E58" s="7" t="s">
        <v>154</v>
      </c>
      <c r="F58" s="7" t="s">
        <v>39</v>
      </c>
      <c r="G58" s="7">
        <v>1</v>
      </c>
      <c r="H58" s="8">
        <v>33.56</v>
      </c>
      <c r="I58" s="9">
        <v>25</v>
      </c>
      <c r="J58" s="8">
        <v>25.17</v>
      </c>
      <c r="K58" s="8">
        <v>6.48</v>
      </c>
      <c r="L58" s="10" t="s">
        <v>17</v>
      </c>
    </row>
    <row r="59" spans="1:12" x14ac:dyDescent="0.3">
      <c r="A59" s="5" t="s">
        <v>169</v>
      </c>
      <c r="B59" s="6">
        <v>45945</v>
      </c>
      <c r="C59" s="7" t="s">
        <v>170</v>
      </c>
      <c r="D59" s="7" t="s">
        <v>37</v>
      </c>
      <c r="E59" s="7" t="s">
        <v>88</v>
      </c>
      <c r="F59" s="7" t="s">
        <v>22</v>
      </c>
      <c r="G59" s="7">
        <v>2</v>
      </c>
      <c r="H59" s="8">
        <v>8.81</v>
      </c>
      <c r="I59" s="9">
        <v>10</v>
      </c>
      <c r="J59" s="8">
        <v>15.86</v>
      </c>
      <c r="K59" s="8">
        <v>6.42</v>
      </c>
      <c r="L59" s="10" t="s">
        <v>23</v>
      </c>
    </row>
    <row r="60" spans="1:12" x14ac:dyDescent="0.3">
      <c r="A60" s="5" t="s">
        <v>171</v>
      </c>
      <c r="B60" s="6">
        <v>45598</v>
      </c>
      <c r="C60" s="7" t="s">
        <v>172</v>
      </c>
      <c r="D60" s="7" t="s">
        <v>42</v>
      </c>
      <c r="E60" s="7" t="s">
        <v>58</v>
      </c>
      <c r="F60" s="7" t="s">
        <v>49</v>
      </c>
      <c r="G60" s="7">
        <v>1</v>
      </c>
      <c r="H60" s="8">
        <v>24.11</v>
      </c>
      <c r="I60" s="9">
        <v>20</v>
      </c>
      <c r="J60" s="8">
        <v>19.29</v>
      </c>
      <c r="K60" s="8">
        <v>6.5</v>
      </c>
      <c r="L60" s="10" t="s">
        <v>17</v>
      </c>
    </row>
    <row r="61" spans="1:12" x14ac:dyDescent="0.3">
      <c r="A61" s="5" t="s">
        <v>173</v>
      </c>
      <c r="B61" s="6">
        <v>45778</v>
      </c>
      <c r="C61" s="7" t="s">
        <v>174</v>
      </c>
      <c r="D61" s="7" t="s">
        <v>20</v>
      </c>
      <c r="E61" s="7" t="s">
        <v>38</v>
      </c>
      <c r="F61" s="7" t="s">
        <v>39</v>
      </c>
      <c r="G61" s="7">
        <v>1</v>
      </c>
      <c r="H61" s="8">
        <v>71.02</v>
      </c>
      <c r="I61" s="9">
        <v>25</v>
      </c>
      <c r="J61" s="8">
        <v>53.27</v>
      </c>
      <c r="K61" s="8">
        <v>14.3</v>
      </c>
      <c r="L61" s="10" t="s">
        <v>17</v>
      </c>
    </row>
    <row r="62" spans="1:12" x14ac:dyDescent="0.3">
      <c r="A62" s="5" t="s">
        <v>175</v>
      </c>
      <c r="B62" s="6">
        <v>45987</v>
      </c>
      <c r="C62" s="7" t="s">
        <v>176</v>
      </c>
      <c r="D62" s="7" t="s">
        <v>42</v>
      </c>
      <c r="E62" s="7" t="s">
        <v>177</v>
      </c>
      <c r="F62" s="7" t="s">
        <v>49</v>
      </c>
      <c r="G62" s="7">
        <v>1</v>
      </c>
      <c r="H62" s="8">
        <v>43.57</v>
      </c>
      <c r="I62" s="9">
        <v>0</v>
      </c>
      <c r="J62" s="8">
        <v>43.57</v>
      </c>
      <c r="K62" s="8">
        <v>20.22</v>
      </c>
      <c r="L62" s="10" t="s">
        <v>17</v>
      </c>
    </row>
    <row r="63" spans="1:12" x14ac:dyDescent="0.3">
      <c r="A63" s="5" t="s">
        <v>178</v>
      </c>
      <c r="B63" s="6">
        <v>45658</v>
      </c>
      <c r="C63" s="7" t="s">
        <v>179</v>
      </c>
      <c r="D63" s="7" t="s">
        <v>26</v>
      </c>
      <c r="E63" s="7" t="s">
        <v>64</v>
      </c>
      <c r="F63" s="7" t="s">
        <v>16</v>
      </c>
      <c r="G63" s="7">
        <v>4</v>
      </c>
      <c r="H63" s="8">
        <v>109.81</v>
      </c>
      <c r="I63" s="9">
        <v>0</v>
      </c>
      <c r="J63" s="8">
        <v>439.24</v>
      </c>
      <c r="K63" s="8">
        <v>94.96</v>
      </c>
      <c r="L63" s="10" t="s">
        <v>17</v>
      </c>
    </row>
    <row r="64" spans="1:12" x14ac:dyDescent="0.3">
      <c r="A64" s="5" t="s">
        <v>180</v>
      </c>
      <c r="B64" s="6">
        <v>45808</v>
      </c>
      <c r="C64" s="7" t="s">
        <v>181</v>
      </c>
      <c r="D64" s="7" t="s">
        <v>37</v>
      </c>
      <c r="E64" s="7" t="s">
        <v>88</v>
      </c>
      <c r="F64" s="7" t="s">
        <v>22</v>
      </c>
      <c r="G64" s="7">
        <v>2</v>
      </c>
      <c r="H64" s="8">
        <v>12.96</v>
      </c>
      <c r="I64" s="9">
        <v>20</v>
      </c>
      <c r="J64" s="8">
        <v>20.74</v>
      </c>
      <c r="K64" s="8">
        <v>8.7200000000000006</v>
      </c>
      <c r="L64" s="10" t="s">
        <v>17</v>
      </c>
    </row>
    <row r="65" spans="1:12" x14ac:dyDescent="0.3">
      <c r="A65" s="5" t="s">
        <v>182</v>
      </c>
      <c r="B65" s="6">
        <v>45461</v>
      </c>
      <c r="C65" s="7" t="s">
        <v>183</v>
      </c>
      <c r="D65" s="7" t="s">
        <v>20</v>
      </c>
      <c r="E65" s="7" t="s">
        <v>184</v>
      </c>
      <c r="F65" s="7" t="s">
        <v>49</v>
      </c>
      <c r="G65" s="7">
        <v>2</v>
      </c>
      <c r="H65" s="8">
        <v>23.98</v>
      </c>
      <c r="I65" s="9">
        <v>0</v>
      </c>
      <c r="J65" s="8">
        <v>47.96</v>
      </c>
      <c r="K65" s="8">
        <v>15.87</v>
      </c>
      <c r="L65" s="10" t="s">
        <v>17</v>
      </c>
    </row>
    <row r="66" spans="1:12" x14ac:dyDescent="0.3">
      <c r="A66" s="5" t="s">
        <v>185</v>
      </c>
      <c r="B66" s="6">
        <v>45977</v>
      </c>
      <c r="C66" s="7" t="s">
        <v>186</v>
      </c>
      <c r="D66" s="7" t="s">
        <v>26</v>
      </c>
      <c r="E66" s="7" t="s">
        <v>187</v>
      </c>
      <c r="F66" s="7" t="s">
        <v>75</v>
      </c>
      <c r="G66" s="7">
        <v>4</v>
      </c>
      <c r="H66" s="8">
        <v>49.25</v>
      </c>
      <c r="I66" s="9">
        <v>0</v>
      </c>
      <c r="J66" s="8">
        <v>197</v>
      </c>
      <c r="K66" s="8">
        <v>32.43</v>
      </c>
      <c r="L66" s="10" t="s">
        <v>23</v>
      </c>
    </row>
    <row r="67" spans="1:12" x14ac:dyDescent="0.3">
      <c r="A67" s="5" t="s">
        <v>188</v>
      </c>
      <c r="B67" s="6">
        <v>45359</v>
      </c>
      <c r="C67" s="7" t="s">
        <v>189</v>
      </c>
      <c r="D67" s="7" t="s">
        <v>42</v>
      </c>
      <c r="E67" s="7" t="s">
        <v>111</v>
      </c>
      <c r="F67" s="7" t="s">
        <v>49</v>
      </c>
      <c r="G67" s="7">
        <v>1</v>
      </c>
      <c r="H67" s="8">
        <v>30.67</v>
      </c>
      <c r="I67" s="9">
        <v>15</v>
      </c>
      <c r="J67" s="8">
        <v>26.07</v>
      </c>
      <c r="K67" s="8">
        <v>11.49</v>
      </c>
      <c r="L67" s="10" t="s">
        <v>17</v>
      </c>
    </row>
    <row r="68" spans="1:12" x14ac:dyDescent="0.3">
      <c r="A68" s="5" t="s">
        <v>190</v>
      </c>
      <c r="B68" s="6">
        <v>45365</v>
      </c>
      <c r="C68" s="7" t="s">
        <v>191</v>
      </c>
      <c r="D68" s="7" t="s">
        <v>20</v>
      </c>
      <c r="E68" s="7" t="s">
        <v>27</v>
      </c>
      <c r="F68" s="7" t="s">
        <v>22</v>
      </c>
      <c r="G68" s="7">
        <v>4</v>
      </c>
      <c r="H68" s="8">
        <v>31.05</v>
      </c>
      <c r="I68" s="9">
        <v>5</v>
      </c>
      <c r="J68" s="8">
        <v>117.99</v>
      </c>
      <c r="K68" s="8">
        <v>59.73</v>
      </c>
      <c r="L68" s="10" t="s">
        <v>17</v>
      </c>
    </row>
    <row r="69" spans="1:12" x14ac:dyDescent="0.3">
      <c r="A69" s="5" t="s">
        <v>192</v>
      </c>
      <c r="B69" s="6">
        <v>45647</v>
      </c>
      <c r="C69" s="7" t="s">
        <v>193</v>
      </c>
      <c r="D69" s="7" t="s">
        <v>26</v>
      </c>
      <c r="E69" s="7" t="s">
        <v>177</v>
      </c>
      <c r="F69" s="7" t="s">
        <v>49</v>
      </c>
      <c r="G69" s="7">
        <v>3</v>
      </c>
      <c r="H69" s="8">
        <v>87.22</v>
      </c>
      <c r="I69" s="9">
        <v>5</v>
      </c>
      <c r="J69" s="8">
        <v>248.58</v>
      </c>
      <c r="K69" s="8">
        <v>85.85</v>
      </c>
      <c r="L69" s="10" t="s">
        <v>17</v>
      </c>
    </row>
    <row r="70" spans="1:12" x14ac:dyDescent="0.3">
      <c r="A70" s="5" t="s">
        <v>194</v>
      </c>
      <c r="B70" s="6">
        <v>45310</v>
      </c>
      <c r="C70" s="7" t="s">
        <v>195</v>
      </c>
      <c r="D70" s="7" t="s">
        <v>26</v>
      </c>
      <c r="E70" s="7" t="s">
        <v>52</v>
      </c>
      <c r="F70" s="7" t="s">
        <v>39</v>
      </c>
      <c r="G70" s="7">
        <v>1</v>
      </c>
      <c r="H70" s="8">
        <v>77.239999999999995</v>
      </c>
      <c r="I70" s="9">
        <v>0</v>
      </c>
      <c r="J70" s="8">
        <v>77.239999999999995</v>
      </c>
      <c r="K70" s="8">
        <v>16.18</v>
      </c>
      <c r="L70" s="10" t="s">
        <v>17</v>
      </c>
    </row>
    <row r="71" spans="1:12" x14ac:dyDescent="0.3">
      <c r="A71" s="5" t="s">
        <v>196</v>
      </c>
      <c r="B71" s="6">
        <v>45589</v>
      </c>
      <c r="C71" s="7" t="s">
        <v>197</v>
      </c>
      <c r="D71" s="7" t="s">
        <v>26</v>
      </c>
      <c r="E71" s="7" t="s">
        <v>27</v>
      </c>
      <c r="F71" s="7" t="s">
        <v>22</v>
      </c>
      <c r="G71" s="7">
        <v>4</v>
      </c>
      <c r="H71" s="8">
        <v>10.029999999999999</v>
      </c>
      <c r="I71" s="9">
        <v>10</v>
      </c>
      <c r="J71" s="8">
        <v>36.11</v>
      </c>
      <c r="K71" s="8">
        <v>22.37</v>
      </c>
      <c r="L71" s="10" t="s">
        <v>17</v>
      </c>
    </row>
    <row r="72" spans="1:12" x14ac:dyDescent="0.3">
      <c r="A72" s="5" t="s">
        <v>198</v>
      </c>
      <c r="B72" s="6">
        <v>45581</v>
      </c>
      <c r="C72" s="7" t="s">
        <v>199</v>
      </c>
      <c r="D72" s="7" t="s">
        <v>20</v>
      </c>
      <c r="E72" s="7" t="s">
        <v>88</v>
      </c>
      <c r="F72" s="7" t="s">
        <v>22</v>
      </c>
      <c r="G72" s="7">
        <v>2</v>
      </c>
      <c r="H72" s="8">
        <v>13.14</v>
      </c>
      <c r="I72" s="9">
        <v>0</v>
      </c>
      <c r="J72" s="8">
        <v>26.28</v>
      </c>
      <c r="K72" s="8">
        <v>16.63</v>
      </c>
      <c r="L72" s="10" t="s">
        <v>17</v>
      </c>
    </row>
    <row r="73" spans="1:12" x14ac:dyDescent="0.3">
      <c r="A73" s="5" t="s">
        <v>200</v>
      </c>
      <c r="B73" s="6">
        <v>45731</v>
      </c>
      <c r="C73" s="7" t="s">
        <v>201</v>
      </c>
      <c r="D73" s="7" t="s">
        <v>26</v>
      </c>
      <c r="E73" s="7" t="s">
        <v>133</v>
      </c>
      <c r="F73" s="7" t="s">
        <v>75</v>
      </c>
      <c r="G73" s="7">
        <v>1</v>
      </c>
      <c r="H73" s="8">
        <v>48.97</v>
      </c>
      <c r="I73" s="9">
        <v>10</v>
      </c>
      <c r="J73" s="8">
        <v>44.07</v>
      </c>
      <c r="K73" s="8">
        <v>6.91</v>
      </c>
      <c r="L73" s="10" t="s">
        <v>34</v>
      </c>
    </row>
    <row r="74" spans="1:12" x14ac:dyDescent="0.3">
      <c r="A74" s="5" t="s">
        <v>202</v>
      </c>
      <c r="B74" s="6">
        <v>45604</v>
      </c>
      <c r="C74" s="7" t="s">
        <v>203</v>
      </c>
      <c r="D74" s="7" t="s">
        <v>37</v>
      </c>
      <c r="E74" s="7" t="s">
        <v>151</v>
      </c>
      <c r="F74" s="7" t="s">
        <v>39</v>
      </c>
      <c r="G74" s="7">
        <v>2</v>
      </c>
      <c r="H74" s="8">
        <v>31.46</v>
      </c>
      <c r="I74" s="9">
        <v>5</v>
      </c>
      <c r="J74" s="8">
        <v>59.77</v>
      </c>
      <c r="K74" s="8">
        <v>18.329999999999998</v>
      </c>
      <c r="L74" s="10" t="s">
        <v>17</v>
      </c>
    </row>
    <row r="75" spans="1:12" x14ac:dyDescent="0.3">
      <c r="A75" s="5" t="s">
        <v>204</v>
      </c>
      <c r="B75" s="6">
        <v>45718</v>
      </c>
      <c r="C75" s="7" t="s">
        <v>205</v>
      </c>
      <c r="D75" s="7" t="s">
        <v>37</v>
      </c>
      <c r="E75" s="7" t="s">
        <v>94</v>
      </c>
      <c r="F75" s="7" t="s">
        <v>75</v>
      </c>
      <c r="G75" s="7">
        <v>2</v>
      </c>
      <c r="H75" s="8">
        <v>36.630000000000003</v>
      </c>
      <c r="I75" s="9">
        <v>5</v>
      </c>
      <c r="J75" s="8">
        <v>69.599999999999994</v>
      </c>
      <c r="K75" s="8">
        <v>19.16</v>
      </c>
      <c r="L75" s="10" t="s">
        <v>17</v>
      </c>
    </row>
    <row r="76" spans="1:12" x14ac:dyDescent="0.3">
      <c r="A76" s="5" t="s">
        <v>206</v>
      </c>
      <c r="B76" s="6">
        <v>45738</v>
      </c>
      <c r="C76" s="7" t="s">
        <v>207</v>
      </c>
      <c r="D76" s="7" t="s">
        <v>26</v>
      </c>
      <c r="E76" s="7" t="s">
        <v>208</v>
      </c>
      <c r="F76" s="7" t="s">
        <v>22</v>
      </c>
      <c r="G76" s="7">
        <v>2</v>
      </c>
      <c r="H76" s="8">
        <v>24.36</v>
      </c>
      <c r="I76" s="9">
        <v>0</v>
      </c>
      <c r="J76" s="8">
        <v>48.72</v>
      </c>
      <c r="K76" s="8">
        <v>29.97</v>
      </c>
      <c r="L76" s="10" t="s">
        <v>23</v>
      </c>
    </row>
    <row r="77" spans="1:12" x14ac:dyDescent="0.3">
      <c r="A77" s="5" t="s">
        <v>209</v>
      </c>
      <c r="B77" s="6">
        <v>45974</v>
      </c>
      <c r="C77" s="7" t="s">
        <v>210</v>
      </c>
      <c r="D77" s="7" t="s">
        <v>26</v>
      </c>
      <c r="E77" s="7" t="s">
        <v>211</v>
      </c>
      <c r="F77" s="7" t="s">
        <v>39</v>
      </c>
      <c r="G77" s="7">
        <v>1</v>
      </c>
      <c r="H77" s="8">
        <v>27.61</v>
      </c>
      <c r="I77" s="9">
        <v>0</v>
      </c>
      <c r="J77" s="8">
        <v>27.61</v>
      </c>
      <c r="K77" s="8">
        <v>10.220000000000001</v>
      </c>
      <c r="L77" s="10" t="s">
        <v>17</v>
      </c>
    </row>
    <row r="78" spans="1:12" x14ac:dyDescent="0.3">
      <c r="A78" s="5" t="s">
        <v>212</v>
      </c>
      <c r="B78" s="6">
        <v>45647</v>
      </c>
      <c r="C78" s="7" t="s">
        <v>213</v>
      </c>
      <c r="D78" s="7" t="s">
        <v>26</v>
      </c>
      <c r="E78" s="7" t="s">
        <v>214</v>
      </c>
      <c r="F78" s="7" t="s">
        <v>49</v>
      </c>
      <c r="G78" s="7">
        <v>2</v>
      </c>
      <c r="H78" s="8">
        <v>42.26</v>
      </c>
      <c r="I78" s="9">
        <v>0</v>
      </c>
      <c r="J78" s="8">
        <v>84.52</v>
      </c>
      <c r="K78" s="8">
        <v>45.64</v>
      </c>
      <c r="L78" s="10" t="s">
        <v>23</v>
      </c>
    </row>
    <row r="79" spans="1:12" x14ac:dyDescent="0.3">
      <c r="A79" s="5" t="s">
        <v>215</v>
      </c>
      <c r="B79" s="6">
        <v>45907</v>
      </c>
      <c r="C79" s="7" t="s">
        <v>216</v>
      </c>
      <c r="D79" s="7" t="s">
        <v>37</v>
      </c>
      <c r="E79" s="7" t="s">
        <v>187</v>
      </c>
      <c r="F79" s="7" t="s">
        <v>75</v>
      </c>
      <c r="G79" s="7">
        <v>5</v>
      </c>
      <c r="H79" s="8">
        <v>58.49</v>
      </c>
      <c r="I79" s="9">
        <v>5</v>
      </c>
      <c r="J79" s="8">
        <v>277.83</v>
      </c>
      <c r="K79" s="8">
        <v>69.03</v>
      </c>
      <c r="L79" s="10" t="s">
        <v>17</v>
      </c>
    </row>
    <row r="80" spans="1:12" x14ac:dyDescent="0.3">
      <c r="A80" s="5" t="s">
        <v>217</v>
      </c>
      <c r="B80" s="6">
        <v>45506</v>
      </c>
      <c r="C80" s="7" t="s">
        <v>110</v>
      </c>
      <c r="D80" s="7" t="s">
        <v>20</v>
      </c>
      <c r="E80" s="7" t="s">
        <v>74</v>
      </c>
      <c r="F80" s="7" t="s">
        <v>75</v>
      </c>
      <c r="G80" s="7">
        <v>2</v>
      </c>
      <c r="H80" s="8">
        <v>56.19</v>
      </c>
      <c r="I80" s="9">
        <v>15</v>
      </c>
      <c r="J80" s="8">
        <v>95.52</v>
      </c>
      <c r="K80" s="8">
        <v>21.54</v>
      </c>
      <c r="L80" s="10" t="s">
        <v>17</v>
      </c>
    </row>
    <row r="81" spans="1:12" x14ac:dyDescent="0.3">
      <c r="A81" s="5" t="s">
        <v>218</v>
      </c>
      <c r="B81" s="6">
        <v>45949</v>
      </c>
      <c r="C81" s="7" t="s">
        <v>219</v>
      </c>
      <c r="D81" s="7" t="s">
        <v>14</v>
      </c>
      <c r="E81" s="7" t="s">
        <v>154</v>
      </c>
      <c r="F81" s="7" t="s">
        <v>39</v>
      </c>
      <c r="G81" s="7">
        <v>3</v>
      </c>
      <c r="H81" s="8">
        <v>78.09</v>
      </c>
      <c r="I81" s="9">
        <v>0</v>
      </c>
      <c r="J81" s="8">
        <v>234.27</v>
      </c>
      <c r="K81" s="8">
        <v>86.28</v>
      </c>
      <c r="L81" s="10" t="s">
        <v>17</v>
      </c>
    </row>
    <row r="82" spans="1:12" x14ac:dyDescent="0.3">
      <c r="A82" s="5" t="s">
        <v>220</v>
      </c>
      <c r="B82" s="6">
        <v>45753</v>
      </c>
      <c r="C82" s="7" t="s">
        <v>221</v>
      </c>
      <c r="D82" s="7" t="s">
        <v>42</v>
      </c>
      <c r="E82" s="7" t="s">
        <v>222</v>
      </c>
      <c r="F82" s="7" t="s">
        <v>22</v>
      </c>
      <c r="G82" s="7">
        <v>2</v>
      </c>
      <c r="H82" s="8">
        <v>42.15</v>
      </c>
      <c r="I82" s="9">
        <v>15</v>
      </c>
      <c r="J82" s="8">
        <v>71.66</v>
      </c>
      <c r="K82" s="8">
        <v>31.05</v>
      </c>
      <c r="L82" s="10" t="s">
        <v>17</v>
      </c>
    </row>
    <row r="83" spans="1:12" x14ac:dyDescent="0.3">
      <c r="A83" s="5" t="s">
        <v>223</v>
      </c>
      <c r="B83" s="6">
        <v>45942</v>
      </c>
      <c r="C83" s="7" t="s">
        <v>224</v>
      </c>
      <c r="D83" s="7" t="s">
        <v>20</v>
      </c>
      <c r="E83" s="7" t="s">
        <v>214</v>
      </c>
      <c r="F83" s="7" t="s">
        <v>49</v>
      </c>
      <c r="G83" s="7">
        <v>2</v>
      </c>
      <c r="H83" s="8">
        <v>26.99</v>
      </c>
      <c r="I83" s="9">
        <v>0</v>
      </c>
      <c r="J83" s="8">
        <v>53.98</v>
      </c>
      <c r="K83" s="8">
        <v>17.75</v>
      </c>
      <c r="L83" s="10" t="s">
        <v>17</v>
      </c>
    </row>
    <row r="84" spans="1:12" x14ac:dyDescent="0.3">
      <c r="A84" s="5" t="s">
        <v>225</v>
      </c>
      <c r="B84" s="6">
        <v>45759</v>
      </c>
      <c r="C84" s="7" t="s">
        <v>226</v>
      </c>
      <c r="D84" s="7" t="s">
        <v>14</v>
      </c>
      <c r="E84" s="7" t="s">
        <v>227</v>
      </c>
      <c r="F84" s="7" t="s">
        <v>39</v>
      </c>
      <c r="G84" s="7">
        <v>2</v>
      </c>
      <c r="H84" s="8">
        <v>24.4</v>
      </c>
      <c r="I84" s="9">
        <v>0</v>
      </c>
      <c r="J84" s="8">
        <v>48.8</v>
      </c>
      <c r="K84" s="8">
        <v>14.69</v>
      </c>
      <c r="L84" s="10" t="s">
        <v>23</v>
      </c>
    </row>
    <row r="85" spans="1:12" x14ac:dyDescent="0.3">
      <c r="A85" s="5" t="s">
        <v>228</v>
      </c>
      <c r="B85" s="6">
        <v>46006</v>
      </c>
      <c r="C85" s="7" t="s">
        <v>229</v>
      </c>
      <c r="D85" s="7" t="s">
        <v>37</v>
      </c>
      <c r="E85" s="7" t="s">
        <v>83</v>
      </c>
      <c r="F85" s="7" t="s">
        <v>22</v>
      </c>
      <c r="G85" s="7">
        <v>1</v>
      </c>
      <c r="H85" s="8">
        <v>7.63</v>
      </c>
      <c r="I85" s="9">
        <v>10</v>
      </c>
      <c r="J85" s="8">
        <v>6.87</v>
      </c>
      <c r="K85" s="8">
        <v>3.87</v>
      </c>
      <c r="L85" s="10" t="s">
        <v>23</v>
      </c>
    </row>
    <row r="86" spans="1:12" x14ac:dyDescent="0.3">
      <c r="A86" s="5" t="s">
        <v>230</v>
      </c>
      <c r="B86" s="6">
        <v>45683</v>
      </c>
      <c r="C86" s="7" t="s">
        <v>231</v>
      </c>
      <c r="D86" s="7" t="s">
        <v>42</v>
      </c>
      <c r="E86" s="7" t="s">
        <v>232</v>
      </c>
      <c r="F86" s="7" t="s">
        <v>22</v>
      </c>
      <c r="G86" s="7">
        <v>2</v>
      </c>
      <c r="H86" s="8">
        <v>16.14</v>
      </c>
      <c r="I86" s="9">
        <v>0</v>
      </c>
      <c r="J86" s="8">
        <v>32.28</v>
      </c>
      <c r="K86" s="8">
        <v>13.98</v>
      </c>
      <c r="L86" s="10" t="s">
        <v>17</v>
      </c>
    </row>
    <row r="87" spans="1:12" x14ac:dyDescent="0.3">
      <c r="A87" s="5" t="s">
        <v>233</v>
      </c>
      <c r="B87" s="6">
        <v>45923</v>
      </c>
      <c r="C87" s="7" t="s">
        <v>234</v>
      </c>
      <c r="D87" s="7" t="s">
        <v>37</v>
      </c>
      <c r="E87" s="7" t="s">
        <v>105</v>
      </c>
      <c r="F87" s="7" t="s">
        <v>39</v>
      </c>
      <c r="G87" s="7">
        <v>5</v>
      </c>
      <c r="H87" s="8">
        <v>17.170000000000002</v>
      </c>
      <c r="I87" s="9">
        <v>5</v>
      </c>
      <c r="J87" s="8">
        <v>81.56</v>
      </c>
      <c r="K87" s="8">
        <v>29.99</v>
      </c>
      <c r="L87" s="10" t="s">
        <v>23</v>
      </c>
    </row>
    <row r="88" spans="1:12" x14ac:dyDescent="0.3">
      <c r="A88" s="5" t="s">
        <v>235</v>
      </c>
      <c r="B88" s="6">
        <v>46020</v>
      </c>
      <c r="C88" s="7" t="s">
        <v>147</v>
      </c>
      <c r="D88" s="7" t="s">
        <v>37</v>
      </c>
      <c r="E88" s="7" t="s">
        <v>232</v>
      </c>
      <c r="F88" s="7" t="s">
        <v>22</v>
      </c>
      <c r="G88" s="7">
        <v>1</v>
      </c>
      <c r="H88" s="8">
        <v>29.91</v>
      </c>
      <c r="I88" s="9">
        <v>15</v>
      </c>
      <c r="J88" s="8">
        <v>25.42</v>
      </c>
      <c r="K88" s="8">
        <v>10.19</v>
      </c>
      <c r="L88" s="10" t="s">
        <v>23</v>
      </c>
    </row>
    <row r="89" spans="1:12" x14ac:dyDescent="0.3">
      <c r="A89" s="5" t="s">
        <v>236</v>
      </c>
      <c r="B89" s="6">
        <v>45424</v>
      </c>
      <c r="C89" s="7" t="s">
        <v>237</v>
      </c>
      <c r="D89" s="7" t="s">
        <v>26</v>
      </c>
      <c r="E89" s="7" t="s">
        <v>136</v>
      </c>
      <c r="F89" s="7" t="s">
        <v>75</v>
      </c>
      <c r="G89" s="7">
        <v>3</v>
      </c>
      <c r="H89" s="8">
        <v>46.74</v>
      </c>
      <c r="I89" s="9">
        <v>25</v>
      </c>
      <c r="J89" s="8">
        <v>105.17</v>
      </c>
      <c r="K89" s="8">
        <v>21.88</v>
      </c>
      <c r="L89" s="10" t="s">
        <v>23</v>
      </c>
    </row>
    <row r="90" spans="1:12" x14ac:dyDescent="0.3">
      <c r="A90" s="5" t="s">
        <v>238</v>
      </c>
      <c r="B90" s="6">
        <v>45595</v>
      </c>
      <c r="C90" s="7" t="s">
        <v>239</v>
      </c>
      <c r="D90" s="7" t="s">
        <v>37</v>
      </c>
      <c r="E90" s="7" t="s">
        <v>58</v>
      </c>
      <c r="F90" s="7" t="s">
        <v>49</v>
      </c>
      <c r="G90" s="7">
        <v>1</v>
      </c>
      <c r="H90" s="8">
        <v>42.57</v>
      </c>
      <c r="I90" s="9">
        <v>10</v>
      </c>
      <c r="J90" s="8">
        <v>38.31</v>
      </c>
      <c r="K90" s="8">
        <v>19.309999999999999</v>
      </c>
      <c r="L90" s="10" t="s">
        <v>17</v>
      </c>
    </row>
    <row r="91" spans="1:12" x14ac:dyDescent="0.3">
      <c r="A91" s="5" t="s">
        <v>240</v>
      </c>
      <c r="B91" s="6">
        <v>45610</v>
      </c>
      <c r="C91" s="7" t="s">
        <v>241</v>
      </c>
      <c r="D91" s="7" t="s">
        <v>14</v>
      </c>
      <c r="E91" s="7" t="s">
        <v>27</v>
      </c>
      <c r="F91" s="7" t="s">
        <v>22</v>
      </c>
      <c r="G91" s="7">
        <v>2</v>
      </c>
      <c r="H91" s="8">
        <v>39.74</v>
      </c>
      <c r="I91" s="9">
        <v>10</v>
      </c>
      <c r="J91" s="8">
        <v>71.53</v>
      </c>
      <c r="K91" s="8">
        <v>33.369999999999997</v>
      </c>
      <c r="L91" s="10" t="s">
        <v>17</v>
      </c>
    </row>
    <row r="92" spans="1:12" x14ac:dyDescent="0.3">
      <c r="A92" s="5" t="s">
        <v>242</v>
      </c>
      <c r="B92" s="6">
        <v>45459</v>
      </c>
      <c r="C92" s="7" t="s">
        <v>243</v>
      </c>
      <c r="D92" s="7" t="s">
        <v>20</v>
      </c>
      <c r="E92" s="7" t="s">
        <v>64</v>
      </c>
      <c r="F92" s="7" t="s">
        <v>16</v>
      </c>
      <c r="G92" s="7">
        <v>4</v>
      </c>
      <c r="H92" s="8">
        <v>135.07</v>
      </c>
      <c r="I92" s="9">
        <v>5</v>
      </c>
      <c r="J92" s="8">
        <v>513.27</v>
      </c>
      <c r="K92" s="8">
        <v>108.92</v>
      </c>
      <c r="L92" s="10" t="s">
        <v>23</v>
      </c>
    </row>
    <row r="93" spans="1:12" x14ac:dyDescent="0.3">
      <c r="A93" s="5" t="s">
        <v>244</v>
      </c>
      <c r="B93" s="6">
        <v>45607</v>
      </c>
      <c r="C93" s="7" t="s">
        <v>245</v>
      </c>
      <c r="D93" s="7" t="s">
        <v>26</v>
      </c>
      <c r="E93" s="7" t="s">
        <v>246</v>
      </c>
      <c r="F93" s="7" t="s">
        <v>75</v>
      </c>
      <c r="G93" s="7">
        <v>4</v>
      </c>
      <c r="H93" s="8">
        <v>54.88</v>
      </c>
      <c r="I93" s="9">
        <v>10</v>
      </c>
      <c r="J93" s="8">
        <v>197.57</v>
      </c>
      <c r="K93" s="8">
        <v>54.5</v>
      </c>
      <c r="L93" s="10" t="s">
        <v>17</v>
      </c>
    </row>
    <row r="94" spans="1:12" x14ac:dyDescent="0.3">
      <c r="A94" s="5" t="s">
        <v>247</v>
      </c>
      <c r="B94" s="6">
        <v>45851</v>
      </c>
      <c r="C94" s="7" t="s">
        <v>248</v>
      </c>
      <c r="D94" s="7" t="s">
        <v>20</v>
      </c>
      <c r="E94" s="7" t="s">
        <v>222</v>
      </c>
      <c r="F94" s="7" t="s">
        <v>22</v>
      </c>
      <c r="G94" s="7">
        <v>1</v>
      </c>
      <c r="H94" s="8">
        <v>30.87</v>
      </c>
      <c r="I94" s="9">
        <v>0</v>
      </c>
      <c r="J94" s="8">
        <v>30.87</v>
      </c>
      <c r="K94" s="8">
        <v>14.97</v>
      </c>
      <c r="L94" s="10" t="s">
        <v>17</v>
      </c>
    </row>
    <row r="95" spans="1:12" x14ac:dyDescent="0.3">
      <c r="A95" s="5" t="s">
        <v>249</v>
      </c>
      <c r="B95" s="6">
        <v>45662</v>
      </c>
      <c r="C95" s="7" t="s">
        <v>250</v>
      </c>
      <c r="D95" s="7" t="s">
        <v>20</v>
      </c>
      <c r="E95" s="7" t="s">
        <v>208</v>
      </c>
      <c r="F95" s="7" t="s">
        <v>22</v>
      </c>
      <c r="G95" s="7">
        <v>1</v>
      </c>
      <c r="H95" s="8">
        <v>32.869999999999997</v>
      </c>
      <c r="I95" s="9">
        <v>10</v>
      </c>
      <c r="J95" s="8">
        <v>29.58</v>
      </c>
      <c r="K95" s="8">
        <v>15.59</v>
      </c>
      <c r="L95" s="10" t="s">
        <v>23</v>
      </c>
    </row>
    <row r="96" spans="1:12" x14ac:dyDescent="0.3">
      <c r="A96" s="5" t="s">
        <v>251</v>
      </c>
      <c r="B96" s="6">
        <v>45733</v>
      </c>
      <c r="C96" s="7" t="s">
        <v>252</v>
      </c>
      <c r="D96" s="7" t="s">
        <v>26</v>
      </c>
      <c r="E96" s="7" t="s">
        <v>253</v>
      </c>
      <c r="F96" s="7" t="s">
        <v>49</v>
      </c>
      <c r="G96" s="7">
        <v>1</v>
      </c>
      <c r="H96" s="8">
        <v>70.489999999999995</v>
      </c>
      <c r="I96" s="9">
        <v>0</v>
      </c>
      <c r="J96" s="8">
        <v>70.489999999999995</v>
      </c>
      <c r="K96" s="8">
        <v>38.74</v>
      </c>
      <c r="L96" s="10" t="s">
        <v>23</v>
      </c>
    </row>
    <row r="97" spans="1:12" x14ac:dyDescent="0.3">
      <c r="A97" s="5" t="s">
        <v>254</v>
      </c>
      <c r="B97" s="6">
        <v>45368</v>
      </c>
      <c r="C97" s="7" t="s">
        <v>57</v>
      </c>
      <c r="D97" s="7" t="s">
        <v>37</v>
      </c>
      <c r="E97" s="7" t="s">
        <v>136</v>
      </c>
      <c r="F97" s="7" t="s">
        <v>75</v>
      </c>
      <c r="G97" s="7">
        <v>2</v>
      </c>
      <c r="H97" s="8">
        <v>36.159999999999997</v>
      </c>
      <c r="I97" s="9">
        <v>5</v>
      </c>
      <c r="J97" s="8">
        <v>68.7</v>
      </c>
      <c r="K97" s="8">
        <v>12.64</v>
      </c>
      <c r="L97" s="10" t="s">
        <v>23</v>
      </c>
    </row>
    <row r="98" spans="1:12" x14ac:dyDescent="0.3">
      <c r="A98" s="5" t="s">
        <v>255</v>
      </c>
      <c r="B98" s="6">
        <v>45357</v>
      </c>
      <c r="C98" s="7" t="s">
        <v>256</v>
      </c>
      <c r="D98" s="7" t="s">
        <v>26</v>
      </c>
      <c r="E98" s="7" t="s">
        <v>148</v>
      </c>
      <c r="F98" s="7" t="s">
        <v>16</v>
      </c>
      <c r="G98" s="7">
        <v>2</v>
      </c>
      <c r="H98" s="8">
        <v>49.19</v>
      </c>
      <c r="I98" s="9">
        <v>0</v>
      </c>
      <c r="J98" s="8">
        <v>98.38</v>
      </c>
      <c r="K98" s="8">
        <v>20.98</v>
      </c>
      <c r="L98" s="10" t="s">
        <v>23</v>
      </c>
    </row>
    <row r="99" spans="1:12" x14ac:dyDescent="0.3">
      <c r="A99" s="5" t="s">
        <v>257</v>
      </c>
      <c r="B99" s="6">
        <v>45736</v>
      </c>
      <c r="C99" s="7" t="s">
        <v>258</v>
      </c>
      <c r="D99" s="7" t="s">
        <v>37</v>
      </c>
      <c r="E99" s="7" t="s">
        <v>184</v>
      </c>
      <c r="F99" s="7" t="s">
        <v>49</v>
      </c>
      <c r="G99" s="7">
        <v>2</v>
      </c>
      <c r="H99" s="8">
        <v>30.53</v>
      </c>
      <c r="I99" s="9">
        <v>10</v>
      </c>
      <c r="J99" s="8">
        <v>54.95</v>
      </c>
      <c r="K99" s="8">
        <v>20.67</v>
      </c>
      <c r="L99" s="10" t="s">
        <v>34</v>
      </c>
    </row>
    <row r="100" spans="1:12" x14ac:dyDescent="0.3">
      <c r="A100" s="5" t="s">
        <v>259</v>
      </c>
      <c r="B100" s="6">
        <v>45313</v>
      </c>
      <c r="C100" s="7" t="s">
        <v>260</v>
      </c>
      <c r="D100" s="7" t="s">
        <v>37</v>
      </c>
      <c r="E100" s="7" t="s">
        <v>211</v>
      </c>
      <c r="F100" s="7" t="s">
        <v>39</v>
      </c>
      <c r="G100" s="7">
        <v>2</v>
      </c>
      <c r="H100" s="8">
        <v>28.99</v>
      </c>
      <c r="I100" s="9">
        <v>5</v>
      </c>
      <c r="J100" s="8">
        <v>55.08</v>
      </c>
      <c r="K100" s="8">
        <v>19.32</v>
      </c>
      <c r="L100" s="10" t="s">
        <v>17</v>
      </c>
    </row>
    <row r="101" spans="1:12" x14ac:dyDescent="0.3">
      <c r="A101" s="5" t="s">
        <v>261</v>
      </c>
      <c r="B101" s="6">
        <v>45480</v>
      </c>
      <c r="C101" s="7" t="s">
        <v>262</v>
      </c>
      <c r="D101" s="7" t="s">
        <v>42</v>
      </c>
      <c r="E101" s="7" t="s">
        <v>246</v>
      </c>
      <c r="F101" s="7" t="s">
        <v>75</v>
      </c>
      <c r="G101" s="7">
        <v>3</v>
      </c>
      <c r="H101" s="8">
        <v>35.979999999999997</v>
      </c>
      <c r="I101" s="9">
        <v>20</v>
      </c>
      <c r="J101" s="8">
        <v>86.35</v>
      </c>
      <c r="K101" s="8">
        <v>28.22</v>
      </c>
      <c r="L101" s="10" t="s">
        <v>17</v>
      </c>
    </row>
    <row r="102" spans="1:12" x14ac:dyDescent="0.3">
      <c r="A102" s="5" t="s">
        <v>263</v>
      </c>
      <c r="B102" s="6">
        <v>45482</v>
      </c>
      <c r="C102" s="7" t="s">
        <v>264</v>
      </c>
      <c r="D102" s="7" t="s">
        <v>37</v>
      </c>
      <c r="E102" s="7" t="s">
        <v>111</v>
      </c>
      <c r="F102" s="7" t="s">
        <v>49</v>
      </c>
      <c r="G102" s="7">
        <v>2</v>
      </c>
      <c r="H102" s="8">
        <v>34.590000000000003</v>
      </c>
      <c r="I102" s="9">
        <v>0</v>
      </c>
      <c r="J102" s="8">
        <v>69.180000000000007</v>
      </c>
      <c r="K102" s="8">
        <v>33.340000000000003</v>
      </c>
      <c r="L102" s="10" t="s">
        <v>17</v>
      </c>
    </row>
    <row r="103" spans="1:12" x14ac:dyDescent="0.3">
      <c r="A103" s="5" t="s">
        <v>265</v>
      </c>
      <c r="B103" s="6">
        <v>45392</v>
      </c>
      <c r="C103" s="7" t="s">
        <v>266</v>
      </c>
      <c r="D103" s="7" t="s">
        <v>42</v>
      </c>
      <c r="E103" s="7" t="s">
        <v>133</v>
      </c>
      <c r="F103" s="7" t="s">
        <v>75</v>
      </c>
      <c r="G103" s="7">
        <v>1</v>
      </c>
      <c r="H103" s="8">
        <v>16.12</v>
      </c>
      <c r="I103" s="9">
        <v>0</v>
      </c>
      <c r="J103" s="8">
        <v>16.12</v>
      </c>
      <c r="K103" s="8">
        <v>4.96</v>
      </c>
      <c r="L103" s="10" t="s">
        <v>17</v>
      </c>
    </row>
    <row r="104" spans="1:12" x14ac:dyDescent="0.3">
      <c r="A104" s="5" t="s">
        <v>267</v>
      </c>
      <c r="B104" s="6">
        <v>45596</v>
      </c>
      <c r="C104" s="7" t="s">
        <v>268</v>
      </c>
      <c r="D104" s="7" t="s">
        <v>20</v>
      </c>
      <c r="E104" s="7" t="s">
        <v>269</v>
      </c>
      <c r="F104" s="7" t="s">
        <v>75</v>
      </c>
      <c r="G104" s="7">
        <v>3</v>
      </c>
      <c r="H104" s="8">
        <v>57.41</v>
      </c>
      <c r="I104" s="9">
        <v>10</v>
      </c>
      <c r="J104" s="8">
        <v>155.01</v>
      </c>
      <c r="K104" s="8">
        <v>37.25</v>
      </c>
      <c r="L104" s="10" t="s">
        <v>23</v>
      </c>
    </row>
    <row r="105" spans="1:12" x14ac:dyDescent="0.3">
      <c r="A105" s="5" t="s">
        <v>270</v>
      </c>
      <c r="B105" s="6">
        <v>45859</v>
      </c>
      <c r="C105" s="7" t="s">
        <v>271</v>
      </c>
      <c r="D105" s="7" t="s">
        <v>20</v>
      </c>
      <c r="E105" s="7" t="s">
        <v>21</v>
      </c>
      <c r="F105" s="7" t="s">
        <v>22</v>
      </c>
      <c r="G105" s="7">
        <v>1</v>
      </c>
      <c r="H105" s="8">
        <v>22.95</v>
      </c>
      <c r="I105" s="9">
        <v>0</v>
      </c>
      <c r="J105" s="8">
        <v>22.95</v>
      </c>
      <c r="K105" s="8">
        <v>12.81</v>
      </c>
      <c r="L105" s="10" t="s">
        <v>17</v>
      </c>
    </row>
    <row r="106" spans="1:12" x14ac:dyDescent="0.3">
      <c r="A106" s="5" t="s">
        <v>272</v>
      </c>
      <c r="B106" s="6">
        <v>45629</v>
      </c>
      <c r="C106" s="7" t="s">
        <v>273</v>
      </c>
      <c r="D106" s="7" t="s">
        <v>37</v>
      </c>
      <c r="E106" s="7" t="s">
        <v>269</v>
      </c>
      <c r="F106" s="7" t="s">
        <v>75</v>
      </c>
      <c r="G106" s="7">
        <v>4</v>
      </c>
      <c r="H106" s="8">
        <v>27.41</v>
      </c>
      <c r="I106" s="9">
        <v>0</v>
      </c>
      <c r="J106" s="8">
        <v>109.64</v>
      </c>
      <c r="K106" s="8">
        <v>37.229999999999997</v>
      </c>
      <c r="L106" s="10" t="s">
        <v>17</v>
      </c>
    </row>
    <row r="107" spans="1:12" x14ac:dyDescent="0.3">
      <c r="A107" s="5" t="s">
        <v>274</v>
      </c>
      <c r="B107" s="6">
        <v>45641</v>
      </c>
      <c r="C107" s="7" t="s">
        <v>275</v>
      </c>
      <c r="D107" s="7" t="s">
        <v>26</v>
      </c>
      <c r="E107" s="7" t="s">
        <v>58</v>
      </c>
      <c r="F107" s="7" t="s">
        <v>49</v>
      </c>
      <c r="G107" s="7">
        <v>1</v>
      </c>
      <c r="H107" s="8">
        <v>20.79</v>
      </c>
      <c r="I107" s="9">
        <v>20</v>
      </c>
      <c r="J107" s="8">
        <v>16.63</v>
      </c>
      <c r="K107" s="8">
        <v>6.47</v>
      </c>
      <c r="L107" s="10" t="s">
        <v>34</v>
      </c>
    </row>
    <row r="108" spans="1:12" x14ac:dyDescent="0.3">
      <c r="A108" s="5" t="s">
        <v>276</v>
      </c>
      <c r="B108" s="6">
        <v>46015</v>
      </c>
      <c r="C108" s="7" t="s">
        <v>277</v>
      </c>
      <c r="D108" s="7" t="s">
        <v>42</v>
      </c>
      <c r="E108" s="7" t="s">
        <v>64</v>
      </c>
      <c r="F108" s="7" t="s">
        <v>16</v>
      </c>
      <c r="G108" s="7">
        <v>4</v>
      </c>
      <c r="H108" s="8">
        <v>101.95</v>
      </c>
      <c r="I108" s="9">
        <v>5</v>
      </c>
      <c r="J108" s="8">
        <v>387.41</v>
      </c>
      <c r="K108" s="8">
        <v>60.64</v>
      </c>
      <c r="L108" s="10" t="s">
        <v>34</v>
      </c>
    </row>
    <row r="109" spans="1:12" x14ac:dyDescent="0.3">
      <c r="A109" s="5" t="s">
        <v>278</v>
      </c>
      <c r="B109" s="6">
        <v>46002</v>
      </c>
      <c r="C109" s="7" t="s">
        <v>279</v>
      </c>
      <c r="D109" s="7" t="s">
        <v>14</v>
      </c>
      <c r="E109" s="7" t="s">
        <v>151</v>
      </c>
      <c r="F109" s="7" t="s">
        <v>39</v>
      </c>
      <c r="G109" s="7">
        <v>2</v>
      </c>
      <c r="H109" s="8">
        <v>34.56</v>
      </c>
      <c r="I109" s="9">
        <v>0</v>
      </c>
      <c r="J109" s="8">
        <v>69.12</v>
      </c>
      <c r="K109" s="8">
        <v>24.79</v>
      </c>
      <c r="L109" s="10" t="s">
        <v>23</v>
      </c>
    </row>
    <row r="110" spans="1:12" x14ac:dyDescent="0.3">
      <c r="A110" s="5" t="s">
        <v>280</v>
      </c>
      <c r="B110" s="6">
        <v>45874</v>
      </c>
      <c r="C110" s="7" t="s">
        <v>281</v>
      </c>
      <c r="D110" s="7" t="s">
        <v>42</v>
      </c>
      <c r="E110" s="7" t="s">
        <v>55</v>
      </c>
      <c r="F110" s="7" t="s">
        <v>16</v>
      </c>
      <c r="G110" s="7">
        <v>4</v>
      </c>
      <c r="H110" s="8">
        <v>95.37</v>
      </c>
      <c r="I110" s="9">
        <v>20</v>
      </c>
      <c r="J110" s="8">
        <v>305.18</v>
      </c>
      <c r="K110" s="8">
        <v>74.25</v>
      </c>
      <c r="L110" s="10" t="s">
        <v>23</v>
      </c>
    </row>
    <row r="111" spans="1:12" x14ac:dyDescent="0.3">
      <c r="A111" s="5" t="s">
        <v>282</v>
      </c>
      <c r="B111" s="6">
        <v>45487</v>
      </c>
      <c r="C111" s="7" t="s">
        <v>283</v>
      </c>
      <c r="D111" s="7" t="s">
        <v>26</v>
      </c>
      <c r="E111" s="7" t="s">
        <v>83</v>
      </c>
      <c r="F111" s="7" t="s">
        <v>22</v>
      </c>
      <c r="G111" s="7">
        <v>4</v>
      </c>
      <c r="H111" s="8">
        <v>29.19</v>
      </c>
      <c r="I111" s="9">
        <v>0</v>
      </c>
      <c r="J111" s="8">
        <v>116.76</v>
      </c>
      <c r="K111" s="8">
        <v>67.58</v>
      </c>
      <c r="L111" s="10" t="s">
        <v>17</v>
      </c>
    </row>
    <row r="112" spans="1:12" x14ac:dyDescent="0.3">
      <c r="A112" s="5" t="s">
        <v>284</v>
      </c>
      <c r="B112" s="6">
        <v>45550</v>
      </c>
      <c r="C112" s="7" t="s">
        <v>285</v>
      </c>
      <c r="D112" s="7" t="s">
        <v>42</v>
      </c>
      <c r="E112" s="7" t="s">
        <v>286</v>
      </c>
      <c r="F112" s="7" t="s">
        <v>39</v>
      </c>
      <c r="G112" s="7">
        <v>1</v>
      </c>
      <c r="H112" s="8">
        <v>30.64</v>
      </c>
      <c r="I112" s="9">
        <v>0</v>
      </c>
      <c r="J112" s="8">
        <v>30.64</v>
      </c>
      <c r="K112" s="8">
        <v>8.33</v>
      </c>
      <c r="L112" s="10" t="s">
        <v>17</v>
      </c>
    </row>
    <row r="113" spans="1:12" x14ac:dyDescent="0.3">
      <c r="A113" s="5" t="s">
        <v>287</v>
      </c>
      <c r="B113" s="6">
        <v>45565</v>
      </c>
      <c r="C113" s="7" t="s">
        <v>288</v>
      </c>
      <c r="D113" s="7" t="s">
        <v>20</v>
      </c>
      <c r="E113" s="7" t="s">
        <v>253</v>
      </c>
      <c r="F113" s="7" t="s">
        <v>49</v>
      </c>
      <c r="G113" s="7">
        <v>3</v>
      </c>
      <c r="H113" s="8">
        <v>64.069999999999993</v>
      </c>
      <c r="I113" s="9">
        <v>0</v>
      </c>
      <c r="J113" s="8">
        <v>192.21</v>
      </c>
      <c r="K113" s="8">
        <v>78.680000000000007</v>
      </c>
      <c r="L113" s="10" t="s">
        <v>23</v>
      </c>
    </row>
    <row r="114" spans="1:12" x14ac:dyDescent="0.3">
      <c r="A114" s="5" t="s">
        <v>289</v>
      </c>
      <c r="B114" s="6">
        <v>45630</v>
      </c>
      <c r="C114" s="7" t="s">
        <v>290</v>
      </c>
      <c r="D114" s="7" t="s">
        <v>37</v>
      </c>
      <c r="E114" s="7" t="s">
        <v>291</v>
      </c>
      <c r="F114" s="7" t="s">
        <v>22</v>
      </c>
      <c r="G114" s="7">
        <v>2</v>
      </c>
      <c r="H114" s="8">
        <v>39.520000000000003</v>
      </c>
      <c r="I114" s="9">
        <v>10</v>
      </c>
      <c r="J114" s="8">
        <v>71.14</v>
      </c>
      <c r="K114" s="8">
        <v>35.74</v>
      </c>
      <c r="L114" s="10" t="s">
        <v>23</v>
      </c>
    </row>
    <row r="115" spans="1:12" x14ac:dyDescent="0.3">
      <c r="A115" s="5" t="s">
        <v>292</v>
      </c>
      <c r="B115" s="6">
        <v>45755</v>
      </c>
      <c r="C115" s="7" t="s">
        <v>117</v>
      </c>
      <c r="D115" s="7" t="s">
        <v>37</v>
      </c>
      <c r="E115" s="7" t="s">
        <v>214</v>
      </c>
      <c r="F115" s="7" t="s">
        <v>49</v>
      </c>
      <c r="G115" s="7">
        <v>1</v>
      </c>
      <c r="H115" s="8">
        <v>55.21</v>
      </c>
      <c r="I115" s="9">
        <v>5</v>
      </c>
      <c r="J115" s="8">
        <v>52.45</v>
      </c>
      <c r="K115" s="8">
        <v>17.53</v>
      </c>
      <c r="L115" s="10" t="s">
        <v>17</v>
      </c>
    </row>
    <row r="116" spans="1:12" x14ac:dyDescent="0.3">
      <c r="A116" s="5" t="s">
        <v>293</v>
      </c>
      <c r="B116" s="6">
        <v>45611</v>
      </c>
      <c r="C116" s="7" t="s">
        <v>294</v>
      </c>
      <c r="D116" s="7" t="s">
        <v>42</v>
      </c>
      <c r="E116" s="7" t="s">
        <v>52</v>
      </c>
      <c r="F116" s="7" t="s">
        <v>39</v>
      </c>
      <c r="G116" s="7">
        <v>2</v>
      </c>
      <c r="H116" s="8">
        <v>74.47</v>
      </c>
      <c r="I116" s="9">
        <v>0</v>
      </c>
      <c r="J116" s="8">
        <v>148.94</v>
      </c>
      <c r="K116" s="8">
        <v>52.71</v>
      </c>
      <c r="L116" s="10" t="s">
        <v>23</v>
      </c>
    </row>
    <row r="117" spans="1:12" x14ac:dyDescent="0.3">
      <c r="A117" s="5" t="s">
        <v>295</v>
      </c>
      <c r="B117" s="6">
        <v>45516</v>
      </c>
      <c r="C117" s="7" t="s">
        <v>296</v>
      </c>
      <c r="D117" s="7" t="s">
        <v>14</v>
      </c>
      <c r="E117" s="7" t="s">
        <v>154</v>
      </c>
      <c r="F117" s="7" t="s">
        <v>39</v>
      </c>
      <c r="G117" s="7">
        <v>2</v>
      </c>
      <c r="H117" s="8">
        <v>59.63</v>
      </c>
      <c r="I117" s="9">
        <v>15</v>
      </c>
      <c r="J117" s="8">
        <v>101.37</v>
      </c>
      <c r="K117" s="8">
        <v>32.58</v>
      </c>
      <c r="L117" s="10" t="s">
        <v>17</v>
      </c>
    </row>
    <row r="118" spans="1:12" x14ac:dyDescent="0.3">
      <c r="A118" s="5" t="s">
        <v>297</v>
      </c>
      <c r="B118" s="6">
        <v>45497</v>
      </c>
      <c r="C118" s="7" t="s">
        <v>298</v>
      </c>
      <c r="D118" s="7" t="s">
        <v>26</v>
      </c>
      <c r="E118" s="7" t="s">
        <v>105</v>
      </c>
      <c r="F118" s="7" t="s">
        <v>39</v>
      </c>
      <c r="G118" s="7">
        <v>4</v>
      </c>
      <c r="H118" s="8">
        <v>65.540000000000006</v>
      </c>
      <c r="I118" s="9">
        <v>25</v>
      </c>
      <c r="J118" s="8">
        <v>196.62</v>
      </c>
      <c r="K118" s="8">
        <v>64.39</v>
      </c>
      <c r="L118" s="10" t="s">
        <v>34</v>
      </c>
    </row>
    <row r="119" spans="1:12" x14ac:dyDescent="0.3">
      <c r="A119" s="5" t="s">
        <v>299</v>
      </c>
      <c r="B119" s="6">
        <v>45902</v>
      </c>
      <c r="C119" s="7" t="s">
        <v>300</v>
      </c>
      <c r="D119" s="7" t="s">
        <v>20</v>
      </c>
      <c r="E119" s="7" t="s">
        <v>211</v>
      </c>
      <c r="F119" s="7" t="s">
        <v>39</v>
      </c>
      <c r="G119" s="7">
        <v>2</v>
      </c>
      <c r="H119" s="8">
        <v>36.43</v>
      </c>
      <c r="I119" s="9">
        <v>0</v>
      </c>
      <c r="J119" s="8">
        <v>72.86</v>
      </c>
      <c r="K119" s="8">
        <v>26.73</v>
      </c>
      <c r="L119" s="10" t="s">
        <v>23</v>
      </c>
    </row>
    <row r="120" spans="1:12" x14ac:dyDescent="0.3">
      <c r="A120" s="5" t="s">
        <v>301</v>
      </c>
      <c r="B120" s="6">
        <v>45724</v>
      </c>
      <c r="C120" s="7" t="s">
        <v>302</v>
      </c>
      <c r="D120" s="7" t="s">
        <v>42</v>
      </c>
      <c r="E120" s="7" t="s">
        <v>33</v>
      </c>
      <c r="F120" s="7" t="s">
        <v>16</v>
      </c>
      <c r="G120" s="7">
        <v>1</v>
      </c>
      <c r="H120" s="8">
        <v>114.13</v>
      </c>
      <c r="I120" s="9">
        <v>15</v>
      </c>
      <c r="J120" s="8">
        <v>97.01</v>
      </c>
      <c r="K120" s="8">
        <v>8.17</v>
      </c>
      <c r="L120" s="10" t="s">
        <v>23</v>
      </c>
    </row>
    <row r="121" spans="1:12" x14ac:dyDescent="0.3">
      <c r="A121" s="5" t="s">
        <v>303</v>
      </c>
      <c r="B121" s="6">
        <v>45791</v>
      </c>
      <c r="C121" s="7" t="s">
        <v>304</v>
      </c>
      <c r="D121" s="7" t="s">
        <v>14</v>
      </c>
      <c r="E121" s="7" t="s">
        <v>269</v>
      </c>
      <c r="F121" s="7" t="s">
        <v>75</v>
      </c>
      <c r="G121" s="7">
        <v>3</v>
      </c>
      <c r="H121" s="8">
        <v>26.78</v>
      </c>
      <c r="I121" s="9">
        <v>0</v>
      </c>
      <c r="J121" s="8">
        <v>80.34</v>
      </c>
      <c r="K121" s="8">
        <v>12.66</v>
      </c>
      <c r="L121" s="10" t="s">
        <v>17</v>
      </c>
    </row>
    <row r="122" spans="1:12" x14ac:dyDescent="0.3">
      <c r="A122" s="5" t="s">
        <v>305</v>
      </c>
      <c r="B122" s="6">
        <v>45716</v>
      </c>
      <c r="C122" s="7" t="s">
        <v>306</v>
      </c>
      <c r="D122" s="7" t="s">
        <v>26</v>
      </c>
      <c r="E122" s="7" t="s">
        <v>246</v>
      </c>
      <c r="F122" s="7" t="s">
        <v>75</v>
      </c>
      <c r="G122" s="7">
        <v>4</v>
      </c>
      <c r="H122" s="8">
        <v>56.37</v>
      </c>
      <c r="I122" s="9">
        <v>10</v>
      </c>
      <c r="J122" s="8">
        <v>202.93</v>
      </c>
      <c r="K122" s="8">
        <v>65.03</v>
      </c>
      <c r="L122" s="10" t="s">
        <v>34</v>
      </c>
    </row>
    <row r="123" spans="1:12" x14ac:dyDescent="0.3">
      <c r="A123" s="5" t="s">
        <v>307</v>
      </c>
      <c r="B123" s="6">
        <v>45298</v>
      </c>
      <c r="C123" s="7" t="s">
        <v>308</v>
      </c>
      <c r="D123" s="7" t="s">
        <v>42</v>
      </c>
      <c r="E123" s="7" t="s">
        <v>309</v>
      </c>
      <c r="F123" s="7" t="s">
        <v>75</v>
      </c>
      <c r="G123" s="7">
        <v>2</v>
      </c>
      <c r="H123" s="8">
        <v>59.53</v>
      </c>
      <c r="I123" s="9">
        <v>5</v>
      </c>
      <c r="J123" s="8">
        <v>113.11</v>
      </c>
      <c r="K123" s="8">
        <v>32.479999999999997</v>
      </c>
      <c r="L123" s="10" t="s">
        <v>17</v>
      </c>
    </row>
    <row r="124" spans="1:12" x14ac:dyDescent="0.3">
      <c r="A124" s="5" t="s">
        <v>310</v>
      </c>
      <c r="B124" s="6">
        <v>45373</v>
      </c>
      <c r="C124" s="7" t="s">
        <v>248</v>
      </c>
      <c r="D124" s="7" t="s">
        <v>37</v>
      </c>
      <c r="E124" s="7" t="s">
        <v>94</v>
      </c>
      <c r="F124" s="7" t="s">
        <v>75</v>
      </c>
      <c r="G124" s="7">
        <v>3</v>
      </c>
      <c r="H124" s="8">
        <v>27.02</v>
      </c>
      <c r="I124" s="9">
        <v>5</v>
      </c>
      <c r="J124" s="8">
        <v>77.010000000000005</v>
      </c>
      <c r="K124" s="8">
        <v>14.22</v>
      </c>
      <c r="L124" s="10" t="s">
        <v>17</v>
      </c>
    </row>
    <row r="125" spans="1:12" x14ac:dyDescent="0.3">
      <c r="A125" s="5" t="s">
        <v>311</v>
      </c>
      <c r="B125" s="6">
        <v>45998</v>
      </c>
      <c r="C125" s="7" t="s">
        <v>312</v>
      </c>
      <c r="D125" s="7" t="s">
        <v>42</v>
      </c>
      <c r="E125" s="7" t="s">
        <v>154</v>
      </c>
      <c r="F125" s="7" t="s">
        <v>39</v>
      </c>
      <c r="G125" s="7">
        <v>2</v>
      </c>
      <c r="H125" s="8">
        <v>19.59</v>
      </c>
      <c r="I125" s="9">
        <v>10</v>
      </c>
      <c r="J125" s="8">
        <v>35.26</v>
      </c>
      <c r="K125" s="8">
        <v>8.66</v>
      </c>
      <c r="L125" s="10" t="s">
        <v>23</v>
      </c>
    </row>
    <row r="126" spans="1:12" x14ac:dyDescent="0.3">
      <c r="A126" s="5" t="s">
        <v>313</v>
      </c>
      <c r="B126" s="6">
        <v>45360</v>
      </c>
      <c r="C126" s="7" t="s">
        <v>25</v>
      </c>
      <c r="D126" s="7" t="s">
        <v>20</v>
      </c>
      <c r="E126" s="7" t="s">
        <v>314</v>
      </c>
      <c r="F126" s="7" t="s">
        <v>16</v>
      </c>
      <c r="G126" s="7">
        <v>2</v>
      </c>
      <c r="H126" s="8">
        <v>22.59</v>
      </c>
      <c r="I126" s="9">
        <v>10</v>
      </c>
      <c r="J126" s="8">
        <v>40.659999999999997</v>
      </c>
      <c r="K126" s="8">
        <v>5.5</v>
      </c>
      <c r="L126" s="10" t="s">
        <v>23</v>
      </c>
    </row>
    <row r="127" spans="1:12" x14ac:dyDescent="0.3">
      <c r="A127" s="5" t="s">
        <v>315</v>
      </c>
      <c r="B127" s="6">
        <v>45361</v>
      </c>
      <c r="C127" s="7" t="s">
        <v>316</v>
      </c>
      <c r="D127" s="7" t="s">
        <v>37</v>
      </c>
      <c r="E127" s="7" t="s">
        <v>83</v>
      </c>
      <c r="F127" s="7" t="s">
        <v>22</v>
      </c>
      <c r="G127" s="7">
        <v>1</v>
      </c>
      <c r="H127" s="8">
        <v>25.17</v>
      </c>
      <c r="I127" s="9">
        <v>15</v>
      </c>
      <c r="J127" s="8">
        <v>21.39</v>
      </c>
      <c r="K127" s="8">
        <v>10.61</v>
      </c>
      <c r="L127" s="10" t="s">
        <v>17</v>
      </c>
    </row>
    <row r="128" spans="1:12" x14ac:dyDescent="0.3">
      <c r="A128" s="5" t="s">
        <v>317</v>
      </c>
      <c r="B128" s="6">
        <v>45941</v>
      </c>
      <c r="C128" s="7" t="s">
        <v>318</v>
      </c>
      <c r="D128" s="7" t="s">
        <v>42</v>
      </c>
      <c r="E128" s="7" t="s">
        <v>177</v>
      </c>
      <c r="F128" s="7" t="s">
        <v>49</v>
      </c>
      <c r="G128" s="7">
        <v>1</v>
      </c>
      <c r="H128" s="8">
        <v>89.58</v>
      </c>
      <c r="I128" s="9">
        <v>5</v>
      </c>
      <c r="J128" s="8">
        <v>85.1</v>
      </c>
      <c r="K128" s="8">
        <v>36.68</v>
      </c>
      <c r="L128" s="10" t="s">
        <v>17</v>
      </c>
    </row>
    <row r="129" spans="1:12" x14ac:dyDescent="0.3">
      <c r="A129" s="5" t="s">
        <v>319</v>
      </c>
      <c r="B129" s="6">
        <v>45551</v>
      </c>
      <c r="C129" s="7" t="s">
        <v>320</v>
      </c>
      <c r="D129" s="7" t="s">
        <v>42</v>
      </c>
      <c r="E129" s="7" t="s">
        <v>133</v>
      </c>
      <c r="F129" s="7" t="s">
        <v>75</v>
      </c>
      <c r="G129" s="7">
        <v>2</v>
      </c>
      <c r="H129" s="8">
        <v>41.3</v>
      </c>
      <c r="I129" s="9">
        <v>15</v>
      </c>
      <c r="J129" s="8">
        <v>70.209999999999994</v>
      </c>
      <c r="K129" s="8">
        <v>11.18</v>
      </c>
      <c r="L129" s="10" t="s">
        <v>23</v>
      </c>
    </row>
    <row r="130" spans="1:12" x14ac:dyDescent="0.3">
      <c r="A130" s="5" t="s">
        <v>321</v>
      </c>
      <c r="B130" s="6">
        <v>45409</v>
      </c>
      <c r="C130" s="7" t="s">
        <v>322</v>
      </c>
      <c r="D130" s="7" t="s">
        <v>20</v>
      </c>
      <c r="E130" s="7" t="s">
        <v>187</v>
      </c>
      <c r="F130" s="7" t="s">
        <v>75</v>
      </c>
      <c r="G130" s="7">
        <v>2</v>
      </c>
      <c r="H130" s="8">
        <v>11.27</v>
      </c>
      <c r="I130" s="9">
        <v>0</v>
      </c>
      <c r="J130" s="8">
        <v>22.54</v>
      </c>
      <c r="K130" s="8">
        <v>5.97</v>
      </c>
      <c r="L130" s="10" t="s">
        <v>17</v>
      </c>
    </row>
    <row r="131" spans="1:12" x14ac:dyDescent="0.3">
      <c r="A131" s="5" t="s">
        <v>323</v>
      </c>
      <c r="B131" s="6">
        <v>45925</v>
      </c>
      <c r="C131" s="7" t="s">
        <v>306</v>
      </c>
      <c r="D131" s="7" t="s">
        <v>14</v>
      </c>
      <c r="E131" s="7" t="s">
        <v>324</v>
      </c>
      <c r="F131" s="7" t="s">
        <v>16</v>
      </c>
      <c r="G131" s="7">
        <v>3</v>
      </c>
      <c r="H131" s="8">
        <v>147.49</v>
      </c>
      <c r="I131" s="9">
        <v>15</v>
      </c>
      <c r="J131" s="8">
        <v>376.1</v>
      </c>
      <c r="K131" s="8">
        <v>93.84</v>
      </c>
      <c r="L131" s="10" t="s">
        <v>23</v>
      </c>
    </row>
    <row r="132" spans="1:12" x14ac:dyDescent="0.3">
      <c r="A132" s="5" t="s">
        <v>325</v>
      </c>
      <c r="B132" s="6">
        <v>45734</v>
      </c>
      <c r="C132" s="7" t="s">
        <v>326</v>
      </c>
      <c r="D132" s="7" t="s">
        <v>42</v>
      </c>
      <c r="E132" s="7" t="s">
        <v>88</v>
      </c>
      <c r="F132" s="7" t="s">
        <v>22</v>
      </c>
      <c r="G132" s="7">
        <v>3</v>
      </c>
      <c r="H132" s="8">
        <v>32.04</v>
      </c>
      <c r="I132" s="9">
        <v>25</v>
      </c>
      <c r="J132" s="8">
        <v>72.09</v>
      </c>
      <c r="K132" s="8">
        <v>42.03</v>
      </c>
      <c r="L132" s="10" t="s">
        <v>17</v>
      </c>
    </row>
    <row r="133" spans="1:12" x14ac:dyDescent="0.3">
      <c r="A133" s="5" t="s">
        <v>327</v>
      </c>
      <c r="B133" s="6">
        <v>46000</v>
      </c>
      <c r="C133" s="7" t="s">
        <v>328</v>
      </c>
      <c r="D133" s="7" t="s">
        <v>14</v>
      </c>
      <c r="E133" s="7" t="s">
        <v>291</v>
      </c>
      <c r="F133" s="7" t="s">
        <v>22</v>
      </c>
      <c r="G133" s="7">
        <v>1</v>
      </c>
      <c r="H133" s="8">
        <v>38.64</v>
      </c>
      <c r="I133" s="9">
        <v>10</v>
      </c>
      <c r="J133" s="8">
        <v>34.78</v>
      </c>
      <c r="K133" s="8">
        <v>19.93</v>
      </c>
      <c r="L133" s="10" t="s">
        <v>34</v>
      </c>
    </row>
    <row r="134" spans="1:12" x14ac:dyDescent="0.3">
      <c r="A134" s="5" t="s">
        <v>329</v>
      </c>
      <c r="B134" s="6">
        <v>45367</v>
      </c>
      <c r="C134" s="7" t="s">
        <v>330</v>
      </c>
      <c r="D134" s="7" t="s">
        <v>26</v>
      </c>
      <c r="E134" s="7" t="s">
        <v>151</v>
      </c>
      <c r="F134" s="7" t="s">
        <v>39</v>
      </c>
      <c r="G134" s="7">
        <v>3</v>
      </c>
      <c r="H134" s="8">
        <v>74.02</v>
      </c>
      <c r="I134" s="9">
        <v>0</v>
      </c>
      <c r="J134" s="8">
        <v>222.06</v>
      </c>
      <c r="K134" s="8">
        <v>88.02</v>
      </c>
      <c r="L134" s="10" t="s">
        <v>23</v>
      </c>
    </row>
    <row r="135" spans="1:12" x14ac:dyDescent="0.3">
      <c r="A135" s="5" t="s">
        <v>331</v>
      </c>
      <c r="B135" s="6">
        <v>45358</v>
      </c>
      <c r="C135" s="7" t="s">
        <v>332</v>
      </c>
      <c r="D135" s="7" t="s">
        <v>14</v>
      </c>
      <c r="E135" s="7" t="s">
        <v>74</v>
      </c>
      <c r="F135" s="7" t="s">
        <v>75</v>
      </c>
      <c r="G135" s="7">
        <v>3</v>
      </c>
      <c r="H135" s="8">
        <v>19.63</v>
      </c>
      <c r="I135" s="9">
        <v>5</v>
      </c>
      <c r="J135" s="8">
        <v>55.95</v>
      </c>
      <c r="K135" s="8">
        <v>18.489999999999998</v>
      </c>
      <c r="L135" s="10" t="s">
        <v>34</v>
      </c>
    </row>
    <row r="136" spans="1:12" x14ac:dyDescent="0.3">
      <c r="A136" s="5" t="s">
        <v>333</v>
      </c>
      <c r="B136" s="6">
        <v>45365</v>
      </c>
      <c r="C136" s="7" t="s">
        <v>334</v>
      </c>
      <c r="D136" s="7" t="s">
        <v>26</v>
      </c>
      <c r="E136" s="7" t="s">
        <v>83</v>
      </c>
      <c r="F136" s="7" t="s">
        <v>22</v>
      </c>
      <c r="G136" s="7">
        <v>3</v>
      </c>
      <c r="H136" s="8">
        <v>39.61</v>
      </c>
      <c r="I136" s="9">
        <v>10</v>
      </c>
      <c r="J136" s="8">
        <v>106.95</v>
      </c>
      <c r="K136" s="8">
        <v>48.94</v>
      </c>
      <c r="L136" s="10" t="s">
        <v>17</v>
      </c>
    </row>
    <row r="137" spans="1:12" x14ac:dyDescent="0.3">
      <c r="A137" s="5" t="s">
        <v>335</v>
      </c>
      <c r="B137" s="6">
        <v>45655</v>
      </c>
      <c r="C137" s="7" t="s">
        <v>336</v>
      </c>
      <c r="D137" s="7" t="s">
        <v>26</v>
      </c>
      <c r="E137" s="7" t="s">
        <v>21</v>
      </c>
      <c r="F137" s="7" t="s">
        <v>22</v>
      </c>
      <c r="G137" s="7">
        <v>2</v>
      </c>
      <c r="H137" s="8">
        <v>47.91</v>
      </c>
      <c r="I137" s="9">
        <v>0</v>
      </c>
      <c r="J137" s="8">
        <v>95.82</v>
      </c>
      <c r="K137" s="8">
        <v>45.87</v>
      </c>
      <c r="L137" s="10" t="s">
        <v>17</v>
      </c>
    </row>
    <row r="138" spans="1:12" x14ac:dyDescent="0.3">
      <c r="A138" s="5" t="s">
        <v>337</v>
      </c>
      <c r="B138" s="6">
        <v>45644</v>
      </c>
      <c r="C138" s="7" t="s">
        <v>338</v>
      </c>
      <c r="D138" s="7" t="s">
        <v>42</v>
      </c>
      <c r="E138" s="7" t="s">
        <v>214</v>
      </c>
      <c r="F138" s="7" t="s">
        <v>49</v>
      </c>
      <c r="G138" s="7">
        <v>1</v>
      </c>
      <c r="H138" s="8">
        <v>50.57</v>
      </c>
      <c r="I138" s="9">
        <v>5</v>
      </c>
      <c r="J138" s="8">
        <v>48.04</v>
      </c>
      <c r="K138" s="8">
        <v>15.43</v>
      </c>
      <c r="L138" s="10" t="s">
        <v>23</v>
      </c>
    </row>
    <row r="139" spans="1:12" x14ac:dyDescent="0.3">
      <c r="A139" s="5" t="s">
        <v>339</v>
      </c>
      <c r="B139" s="6">
        <v>45896</v>
      </c>
      <c r="C139" s="7" t="s">
        <v>340</v>
      </c>
      <c r="D139" s="7" t="s">
        <v>37</v>
      </c>
      <c r="E139" s="7" t="s">
        <v>88</v>
      </c>
      <c r="F139" s="7" t="s">
        <v>22</v>
      </c>
      <c r="G139" s="7">
        <v>2</v>
      </c>
      <c r="H139" s="8">
        <v>11.41</v>
      </c>
      <c r="I139" s="9">
        <v>20</v>
      </c>
      <c r="J139" s="8">
        <v>18.260000000000002</v>
      </c>
      <c r="K139" s="8">
        <v>10.65</v>
      </c>
      <c r="L139" s="10" t="s">
        <v>23</v>
      </c>
    </row>
    <row r="140" spans="1:12" x14ac:dyDescent="0.3">
      <c r="A140" s="5" t="s">
        <v>341</v>
      </c>
      <c r="B140" s="6">
        <v>45690</v>
      </c>
      <c r="C140" s="7" t="s">
        <v>342</v>
      </c>
      <c r="D140" s="7" t="s">
        <v>14</v>
      </c>
      <c r="E140" s="7" t="s">
        <v>52</v>
      </c>
      <c r="F140" s="7" t="s">
        <v>39</v>
      </c>
      <c r="G140" s="7">
        <v>2</v>
      </c>
      <c r="H140" s="8">
        <v>65.010000000000005</v>
      </c>
      <c r="I140" s="9">
        <v>5</v>
      </c>
      <c r="J140" s="8">
        <v>123.52</v>
      </c>
      <c r="K140" s="8">
        <v>43.08</v>
      </c>
      <c r="L140" s="10" t="s">
        <v>17</v>
      </c>
    </row>
    <row r="141" spans="1:12" x14ac:dyDescent="0.3">
      <c r="A141" s="5" t="s">
        <v>343</v>
      </c>
      <c r="B141" s="6">
        <v>45422</v>
      </c>
      <c r="C141" s="7" t="s">
        <v>344</v>
      </c>
      <c r="D141" s="7" t="s">
        <v>37</v>
      </c>
      <c r="E141" s="7" t="s">
        <v>52</v>
      </c>
      <c r="F141" s="7" t="s">
        <v>39</v>
      </c>
      <c r="G141" s="7">
        <v>1</v>
      </c>
      <c r="H141" s="8">
        <v>21.57</v>
      </c>
      <c r="I141" s="9">
        <v>10</v>
      </c>
      <c r="J141" s="8">
        <v>19.41</v>
      </c>
      <c r="K141" s="8">
        <v>4.3499999999999996</v>
      </c>
      <c r="L141" s="10" t="s">
        <v>23</v>
      </c>
    </row>
    <row r="142" spans="1:12" x14ac:dyDescent="0.3">
      <c r="A142" s="5" t="s">
        <v>345</v>
      </c>
      <c r="B142" s="6">
        <v>45562</v>
      </c>
      <c r="C142" s="7" t="s">
        <v>346</v>
      </c>
      <c r="D142" s="7" t="s">
        <v>14</v>
      </c>
      <c r="E142" s="7" t="s">
        <v>38</v>
      </c>
      <c r="F142" s="7" t="s">
        <v>39</v>
      </c>
      <c r="G142" s="7">
        <v>4</v>
      </c>
      <c r="H142" s="8">
        <v>62.74</v>
      </c>
      <c r="I142" s="9">
        <v>15</v>
      </c>
      <c r="J142" s="8">
        <v>213.32</v>
      </c>
      <c r="K142" s="8">
        <v>63.93</v>
      </c>
      <c r="L142" s="10" t="s">
        <v>17</v>
      </c>
    </row>
    <row r="143" spans="1:12" x14ac:dyDescent="0.3">
      <c r="A143" s="5" t="s">
        <v>347</v>
      </c>
      <c r="B143" s="6">
        <v>45852</v>
      </c>
      <c r="C143" s="7" t="s">
        <v>219</v>
      </c>
      <c r="D143" s="7" t="s">
        <v>20</v>
      </c>
      <c r="E143" s="7" t="s">
        <v>151</v>
      </c>
      <c r="F143" s="7" t="s">
        <v>39</v>
      </c>
      <c r="G143" s="7">
        <v>1</v>
      </c>
      <c r="H143" s="8">
        <v>22.64</v>
      </c>
      <c r="I143" s="9">
        <v>0</v>
      </c>
      <c r="J143" s="8">
        <v>22.64</v>
      </c>
      <c r="K143" s="8">
        <v>8.39</v>
      </c>
      <c r="L143" s="10" t="s">
        <v>17</v>
      </c>
    </row>
    <row r="144" spans="1:12" x14ac:dyDescent="0.3">
      <c r="A144" s="5" t="s">
        <v>348</v>
      </c>
      <c r="B144" s="6">
        <v>45598</v>
      </c>
      <c r="C144" s="7" t="s">
        <v>349</v>
      </c>
      <c r="D144" s="7" t="s">
        <v>20</v>
      </c>
      <c r="E144" s="7" t="s">
        <v>253</v>
      </c>
      <c r="F144" s="7" t="s">
        <v>49</v>
      </c>
      <c r="G144" s="7">
        <v>1</v>
      </c>
      <c r="H144" s="8">
        <v>21.2</v>
      </c>
      <c r="I144" s="9">
        <v>0</v>
      </c>
      <c r="J144" s="8">
        <v>21.2</v>
      </c>
      <c r="K144" s="8">
        <v>6.81</v>
      </c>
      <c r="L144" s="10" t="s">
        <v>17</v>
      </c>
    </row>
    <row r="145" spans="1:12" x14ac:dyDescent="0.3">
      <c r="A145" s="5" t="s">
        <v>350</v>
      </c>
      <c r="B145" s="6">
        <v>45377</v>
      </c>
      <c r="C145" s="7" t="s">
        <v>351</v>
      </c>
      <c r="D145" s="7" t="s">
        <v>14</v>
      </c>
      <c r="E145" s="7" t="s">
        <v>253</v>
      </c>
      <c r="F145" s="7" t="s">
        <v>49</v>
      </c>
      <c r="G145" s="7">
        <v>2</v>
      </c>
      <c r="H145" s="8">
        <v>29.84</v>
      </c>
      <c r="I145" s="9">
        <v>25</v>
      </c>
      <c r="J145" s="8">
        <v>44.76</v>
      </c>
      <c r="K145" s="8">
        <v>13.79</v>
      </c>
      <c r="L145" s="10" t="s">
        <v>23</v>
      </c>
    </row>
    <row r="146" spans="1:12" x14ac:dyDescent="0.3">
      <c r="A146" s="5" t="s">
        <v>352</v>
      </c>
      <c r="B146" s="6">
        <v>45789</v>
      </c>
      <c r="C146" s="7" t="s">
        <v>353</v>
      </c>
      <c r="D146" s="7" t="s">
        <v>37</v>
      </c>
      <c r="E146" s="7" t="s">
        <v>211</v>
      </c>
      <c r="F146" s="7" t="s">
        <v>39</v>
      </c>
      <c r="G146" s="7">
        <v>1</v>
      </c>
      <c r="H146" s="8">
        <v>30.6</v>
      </c>
      <c r="I146" s="9">
        <v>5</v>
      </c>
      <c r="J146" s="8">
        <v>29.07</v>
      </c>
      <c r="K146" s="8">
        <v>9.36</v>
      </c>
      <c r="L146" s="10" t="s">
        <v>23</v>
      </c>
    </row>
    <row r="147" spans="1:12" x14ac:dyDescent="0.3">
      <c r="A147" s="5" t="s">
        <v>354</v>
      </c>
      <c r="B147" s="6">
        <v>45959</v>
      </c>
      <c r="C147" s="7" t="s">
        <v>355</v>
      </c>
      <c r="D147" s="7" t="s">
        <v>20</v>
      </c>
      <c r="E147" s="7" t="s">
        <v>208</v>
      </c>
      <c r="F147" s="7" t="s">
        <v>22</v>
      </c>
      <c r="G147" s="7">
        <v>1</v>
      </c>
      <c r="H147" s="8">
        <v>49.22</v>
      </c>
      <c r="I147" s="9">
        <v>15</v>
      </c>
      <c r="J147" s="8">
        <v>41.84</v>
      </c>
      <c r="K147" s="8">
        <v>23.82</v>
      </c>
      <c r="L147" s="10" t="s">
        <v>23</v>
      </c>
    </row>
    <row r="148" spans="1:12" x14ac:dyDescent="0.3">
      <c r="A148" s="5" t="s">
        <v>356</v>
      </c>
      <c r="B148" s="6">
        <v>45757</v>
      </c>
      <c r="C148" s="7" t="s">
        <v>357</v>
      </c>
      <c r="D148" s="7" t="s">
        <v>20</v>
      </c>
      <c r="E148" s="7" t="s">
        <v>58</v>
      </c>
      <c r="F148" s="7" t="s">
        <v>49</v>
      </c>
      <c r="G148" s="7">
        <v>2</v>
      </c>
      <c r="H148" s="8">
        <v>48.95</v>
      </c>
      <c r="I148" s="9">
        <v>5</v>
      </c>
      <c r="J148" s="8">
        <v>93.01</v>
      </c>
      <c r="K148" s="8">
        <v>43.42</v>
      </c>
      <c r="L148" s="10" t="s">
        <v>17</v>
      </c>
    </row>
    <row r="149" spans="1:12" x14ac:dyDescent="0.3">
      <c r="A149" s="5" t="s">
        <v>358</v>
      </c>
      <c r="B149" s="6">
        <v>45327</v>
      </c>
      <c r="C149" s="7" t="s">
        <v>359</v>
      </c>
      <c r="D149" s="7" t="s">
        <v>20</v>
      </c>
      <c r="E149" s="7" t="s">
        <v>43</v>
      </c>
      <c r="F149" s="7" t="s">
        <v>22</v>
      </c>
      <c r="G149" s="7">
        <v>1</v>
      </c>
      <c r="H149" s="8">
        <v>36</v>
      </c>
      <c r="I149" s="9">
        <v>15</v>
      </c>
      <c r="J149" s="8">
        <v>30.6</v>
      </c>
      <c r="K149" s="8">
        <v>12.33</v>
      </c>
      <c r="L149" s="10" t="s">
        <v>17</v>
      </c>
    </row>
    <row r="150" spans="1:12" x14ac:dyDescent="0.3">
      <c r="A150" s="5" t="s">
        <v>360</v>
      </c>
      <c r="B150" s="6">
        <v>45540</v>
      </c>
      <c r="C150" s="7" t="s">
        <v>361</v>
      </c>
      <c r="D150" s="7" t="s">
        <v>42</v>
      </c>
      <c r="E150" s="7" t="s">
        <v>27</v>
      </c>
      <c r="F150" s="7" t="s">
        <v>22</v>
      </c>
      <c r="G150" s="7">
        <v>2</v>
      </c>
      <c r="H150" s="8">
        <v>48.98</v>
      </c>
      <c r="I150" s="9">
        <v>10</v>
      </c>
      <c r="J150" s="8">
        <v>88.16</v>
      </c>
      <c r="K150" s="8">
        <v>40.270000000000003</v>
      </c>
      <c r="L150" s="10" t="s">
        <v>23</v>
      </c>
    </row>
    <row r="151" spans="1:12" x14ac:dyDescent="0.3">
      <c r="A151" s="5" t="s">
        <v>362</v>
      </c>
      <c r="B151" s="6">
        <v>45860</v>
      </c>
      <c r="C151" s="7" t="s">
        <v>363</v>
      </c>
      <c r="D151" s="7" t="s">
        <v>42</v>
      </c>
      <c r="E151" s="7" t="s">
        <v>253</v>
      </c>
      <c r="F151" s="7" t="s">
        <v>49</v>
      </c>
      <c r="G151" s="7">
        <v>5</v>
      </c>
      <c r="H151" s="8">
        <v>28.93</v>
      </c>
      <c r="I151" s="9">
        <v>0</v>
      </c>
      <c r="J151" s="8">
        <v>144.65</v>
      </c>
      <c r="K151" s="8">
        <v>77.59</v>
      </c>
      <c r="L151" s="10" t="s">
        <v>23</v>
      </c>
    </row>
    <row r="152" spans="1:12" x14ac:dyDescent="0.3">
      <c r="A152" s="5" t="s">
        <v>364</v>
      </c>
      <c r="B152" s="6">
        <v>45881</v>
      </c>
      <c r="C152" s="7" t="s">
        <v>365</v>
      </c>
      <c r="D152" s="7" t="s">
        <v>26</v>
      </c>
      <c r="E152" s="7" t="s">
        <v>58</v>
      </c>
      <c r="F152" s="7" t="s">
        <v>49</v>
      </c>
      <c r="G152" s="7">
        <v>2</v>
      </c>
      <c r="H152" s="8">
        <v>81.45</v>
      </c>
      <c r="I152" s="9">
        <v>10</v>
      </c>
      <c r="J152" s="8">
        <v>146.61000000000001</v>
      </c>
      <c r="K152" s="8">
        <v>69.739999999999995</v>
      </c>
      <c r="L152" s="10" t="s">
        <v>17</v>
      </c>
    </row>
    <row r="153" spans="1:12" x14ac:dyDescent="0.3">
      <c r="A153" s="5" t="s">
        <v>366</v>
      </c>
      <c r="B153" s="6">
        <v>45380</v>
      </c>
      <c r="C153" s="7" t="s">
        <v>367</v>
      </c>
      <c r="D153" s="7" t="s">
        <v>20</v>
      </c>
      <c r="E153" s="7" t="s">
        <v>246</v>
      </c>
      <c r="F153" s="7" t="s">
        <v>75</v>
      </c>
      <c r="G153" s="7">
        <v>2</v>
      </c>
      <c r="H153" s="8">
        <v>19.55</v>
      </c>
      <c r="I153" s="9">
        <v>20</v>
      </c>
      <c r="J153" s="8">
        <v>31.28</v>
      </c>
      <c r="K153" s="8">
        <v>8.26</v>
      </c>
      <c r="L153" s="10" t="s">
        <v>23</v>
      </c>
    </row>
    <row r="154" spans="1:12" x14ac:dyDescent="0.3">
      <c r="A154" s="5" t="s">
        <v>368</v>
      </c>
      <c r="B154" s="6">
        <v>45367</v>
      </c>
      <c r="C154" s="7" t="s">
        <v>369</v>
      </c>
      <c r="D154" s="7" t="s">
        <v>42</v>
      </c>
      <c r="E154" s="7" t="s">
        <v>27</v>
      </c>
      <c r="F154" s="7" t="s">
        <v>22</v>
      </c>
      <c r="G154" s="7">
        <v>3</v>
      </c>
      <c r="H154" s="8">
        <v>13.1</v>
      </c>
      <c r="I154" s="9">
        <v>0</v>
      </c>
      <c r="J154" s="8">
        <v>39.299999999999997</v>
      </c>
      <c r="K154" s="8">
        <v>22.8</v>
      </c>
      <c r="L154" s="10" t="s">
        <v>17</v>
      </c>
    </row>
    <row r="155" spans="1:12" x14ac:dyDescent="0.3">
      <c r="A155" s="5" t="s">
        <v>370</v>
      </c>
      <c r="B155" s="6">
        <v>45514</v>
      </c>
      <c r="C155" s="7" t="s">
        <v>130</v>
      </c>
      <c r="D155" s="7" t="s">
        <v>26</v>
      </c>
      <c r="E155" s="7" t="s">
        <v>43</v>
      </c>
      <c r="F155" s="7" t="s">
        <v>22</v>
      </c>
      <c r="G155" s="7">
        <v>2</v>
      </c>
      <c r="H155" s="8">
        <v>49.5</v>
      </c>
      <c r="I155" s="9">
        <v>0</v>
      </c>
      <c r="J155" s="8">
        <v>99</v>
      </c>
      <c r="K155" s="8">
        <v>61.54</v>
      </c>
      <c r="L155" s="10" t="s">
        <v>23</v>
      </c>
    </row>
    <row r="156" spans="1:12" x14ac:dyDescent="0.3">
      <c r="A156" s="5" t="s">
        <v>371</v>
      </c>
      <c r="B156" s="6">
        <v>45817</v>
      </c>
      <c r="C156" s="7" t="s">
        <v>372</v>
      </c>
      <c r="D156" s="7" t="s">
        <v>14</v>
      </c>
      <c r="E156" s="7" t="s">
        <v>30</v>
      </c>
      <c r="F156" s="7" t="s">
        <v>16</v>
      </c>
      <c r="G156" s="7">
        <v>2</v>
      </c>
      <c r="H156" s="8">
        <v>141.15</v>
      </c>
      <c r="I156" s="9">
        <v>20</v>
      </c>
      <c r="J156" s="8">
        <v>225.84</v>
      </c>
      <c r="K156" s="8">
        <v>40.67</v>
      </c>
      <c r="L156" s="10" t="s">
        <v>17</v>
      </c>
    </row>
    <row r="157" spans="1:12" x14ac:dyDescent="0.3">
      <c r="A157" s="5" t="s">
        <v>373</v>
      </c>
      <c r="B157" s="6">
        <v>45309</v>
      </c>
      <c r="C157" s="7" t="s">
        <v>374</v>
      </c>
      <c r="D157" s="7" t="s">
        <v>14</v>
      </c>
      <c r="E157" s="7" t="s">
        <v>83</v>
      </c>
      <c r="F157" s="7" t="s">
        <v>22</v>
      </c>
      <c r="G157" s="7">
        <v>4</v>
      </c>
      <c r="H157" s="8">
        <v>16.170000000000002</v>
      </c>
      <c r="I157" s="9">
        <v>10</v>
      </c>
      <c r="J157" s="8">
        <v>58.21</v>
      </c>
      <c r="K157" s="8">
        <v>25.95</v>
      </c>
      <c r="L157" s="10" t="s">
        <v>17</v>
      </c>
    </row>
    <row r="158" spans="1:12" x14ac:dyDescent="0.3">
      <c r="A158" s="5" t="s">
        <v>375</v>
      </c>
      <c r="B158" s="6">
        <v>45609</v>
      </c>
      <c r="C158" s="7" t="s">
        <v>376</v>
      </c>
      <c r="D158" s="7" t="s">
        <v>26</v>
      </c>
      <c r="E158" s="7" t="s">
        <v>38</v>
      </c>
      <c r="F158" s="7" t="s">
        <v>39</v>
      </c>
      <c r="G158" s="7">
        <v>2</v>
      </c>
      <c r="H158" s="8">
        <v>78.63</v>
      </c>
      <c r="I158" s="9">
        <v>0</v>
      </c>
      <c r="J158" s="8">
        <v>157.26</v>
      </c>
      <c r="K158" s="8">
        <v>51.91</v>
      </c>
      <c r="L158" s="10" t="s">
        <v>17</v>
      </c>
    </row>
    <row r="159" spans="1:12" x14ac:dyDescent="0.3">
      <c r="A159" s="5" t="s">
        <v>377</v>
      </c>
      <c r="B159" s="6">
        <v>45451</v>
      </c>
      <c r="C159" s="7" t="s">
        <v>378</v>
      </c>
      <c r="D159" s="7" t="s">
        <v>42</v>
      </c>
      <c r="E159" s="7" t="s">
        <v>55</v>
      </c>
      <c r="F159" s="7" t="s">
        <v>16</v>
      </c>
      <c r="G159" s="7">
        <v>3</v>
      </c>
      <c r="H159" s="8">
        <v>104.59</v>
      </c>
      <c r="I159" s="9">
        <v>15</v>
      </c>
      <c r="J159" s="8">
        <v>266.7</v>
      </c>
      <c r="K159" s="8">
        <v>23.88</v>
      </c>
      <c r="L159" s="10" t="s">
        <v>17</v>
      </c>
    </row>
    <row r="160" spans="1:12" x14ac:dyDescent="0.3">
      <c r="A160" s="5" t="s">
        <v>379</v>
      </c>
      <c r="B160" s="6">
        <v>45970</v>
      </c>
      <c r="C160" s="7" t="s">
        <v>380</v>
      </c>
      <c r="D160" s="7" t="s">
        <v>42</v>
      </c>
      <c r="E160" s="7" t="s">
        <v>133</v>
      </c>
      <c r="F160" s="7" t="s">
        <v>75</v>
      </c>
      <c r="G160" s="7">
        <v>1</v>
      </c>
      <c r="H160" s="8">
        <v>30.37</v>
      </c>
      <c r="I160" s="9">
        <v>10</v>
      </c>
      <c r="J160" s="8">
        <v>27.33</v>
      </c>
      <c r="K160" s="8">
        <v>6.25</v>
      </c>
      <c r="L160" s="10" t="s">
        <v>17</v>
      </c>
    </row>
    <row r="161" spans="1:12" x14ac:dyDescent="0.3">
      <c r="A161" s="5" t="s">
        <v>381</v>
      </c>
      <c r="B161" s="6">
        <v>45966</v>
      </c>
      <c r="C161" s="7" t="s">
        <v>382</v>
      </c>
      <c r="D161" s="7" t="s">
        <v>14</v>
      </c>
      <c r="E161" s="7" t="s">
        <v>291</v>
      </c>
      <c r="F161" s="7" t="s">
        <v>22</v>
      </c>
      <c r="G161" s="7">
        <v>1</v>
      </c>
      <c r="H161" s="8">
        <v>13.06</v>
      </c>
      <c r="I161" s="9">
        <v>0</v>
      </c>
      <c r="J161" s="8">
        <v>13.06</v>
      </c>
      <c r="K161" s="8">
        <v>7.96</v>
      </c>
      <c r="L161" s="10" t="s">
        <v>17</v>
      </c>
    </row>
    <row r="162" spans="1:12" x14ac:dyDescent="0.3">
      <c r="A162" s="5" t="s">
        <v>383</v>
      </c>
      <c r="B162" s="6">
        <v>45547</v>
      </c>
      <c r="C162" s="7" t="s">
        <v>384</v>
      </c>
      <c r="D162" s="7" t="s">
        <v>26</v>
      </c>
      <c r="E162" s="7" t="s">
        <v>118</v>
      </c>
      <c r="F162" s="7" t="s">
        <v>49</v>
      </c>
      <c r="G162" s="7">
        <v>2</v>
      </c>
      <c r="H162" s="8">
        <v>71.77</v>
      </c>
      <c r="I162" s="9">
        <v>25</v>
      </c>
      <c r="J162" s="8">
        <v>107.66</v>
      </c>
      <c r="K162" s="8">
        <v>53.41</v>
      </c>
      <c r="L162" s="10" t="s">
        <v>23</v>
      </c>
    </row>
    <row r="163" spans="1:12" x14ac:dyDescent="0.3">
      <c r="A163" s="5" t="s">
        <v>385</v>
      </c>
      <c r="B163" s="6">
        <v>45951</v>
      </c>
      <c r="C163" s="7" t="s">
        <v>386</v>
      </c>
      <c r="D163" s="7" t="s">
        <v>20</v>
      </c>
      <c r="E163" s="7" t="s">
        <v>38</v>
      </c>
      <c r="F163" s="7" t="s">
        <v>39</v>
      </c>
      <c r="G163" s="7">
        <v>3</v>
      </c>
      <c r="H163" s="8">
        <v>59.98</v>
      </c>
      <c r="I163" s="9">
        <v>0</v>
      </c>
      <c r="J163" s="8">
        <v>179.94</v>
      </c>
      <c r="K163" s="8">
        <v>60.63</v>
      </c>
      <c r="L163" s="10" t="s">
        <v>23</v>
      </c>
    </row>
    <row r="164" spans="1:12" x14ac:dyDescent="0.3">
      <c r="A164" s="5" t="s">
        <v>387</v>
      </c>
      <c r="B164" s="6">
        <v>45726</v>
      </c>
      <c r="C164" s="7" t="s">
        <v>388</v>
      </c>
      <c r="D164" s="7" t="s">
        <v>14</v>
      </c>
      <c r="E164" s="7" t="s">
        <v>232</v>
      </c>
      <c r="F164" s="7" t="s">
        <v>22</v>
      </c>
      <c r="G164" s="7">
        <v>1</v>
      </c>
      <c r="H164" s="8">
        <v>48.84</v>
      </c>
      <c r="I164" s="9">
        <v>25</v>
      </c>
      <c r="J164" s="8">
        <v>36.630000000000003</v>
      </c>
      <c r="K164" s="8">
        <v>18</v>
      </c>
      <c r="L164" s="10" t="s">
        <v>17</v>
      </c>
    </row>
    <row r="165" spans="1:12" x14ac:dyDescent="0.3">
      <c r="A165" s="5" t="s">
        <v>389</v>
      </c>
      <c r="B165" s="6">
        <v>45424</v>
      </c>
      <c r="C165" s="7" t="s">
        <v>390</v>
      </c>
      <c r="D165" s="7" t="s">
        <v>20</v>
      </c>
      <c r="E165" s="7" t="s">
        <v>38</v>
      </c>
      <c r="F165" s="7" t="s">
        <v>39</v>
      </c>
      <c r="G165" s="7">
        <v>3</v>
      </c>
      <c r="H165" s="8">
        <v>23.35</v>
      </c>
      <c r="I165" s="9">
        <v>5</v>
      </c>
      <c r="J165" s="8">
        <v>66.55</v>
      </c>
      <c r="K165" s="8">
        <v>16.71</v>
      </c>
      <c r="L165" s="10" t="s">
        <v>17</v>
      </c>
    </row>
    <row r="166" spans="1:12" x14ac:dyDescent="0.3">
      <c r="A166" s="5" t="s">
        <v>391</v>
      </c>
      <c r="B166" s="6">
        <v>46009</v>
      </c>
      <c r="C166" s="7" t="s">
        <v>392</v>
      </c>
      <c r="D166" s="7" t="s">
        <v>42</v>
      </c>
      <c r="E166" s="7" t="s">
        <v>246</v>
      </c>
      <c r="F166" s="7" t="s">
        <v>75</v>
      </c>
      <c r="G166" s="7">
        <v>4</v>
      </c>
      <c r="H166" s="8">
        <v>48.62</v>
      </c>
      <c r="I166" s="9">
        <v>15</v>
      </c>
      <c r="J166" s="8">
        <v>165.31</v>
      </c>
      <c r="K166" s="8">
        <v>26.46</v>
      </c>
      <c r="L166" s="10" t="s">
        <v>17</v>
      </c>
    </row>
    <row r="167" spans="1:12" x14ac:dyDescent="0.3">
      <c r="A167" s="5" t="s">
        <v>393</v>
      </c>
      <c r="B167" s="6">
        <v>46004</v>
      </c>
      <c r="C167" s="7" t="s">
        <v>394</v>
      </c>
      <c r="D167" s="7" t="s">
        <v>20</v>
      </c>
      <c r="E167" s="7" t="s">
        <v>133</v>
      </c>
      <c r="F167" s="7" t="s">
        <v>75</v>
      </c>
      <c r="G167" s="7">
        <v>1</v>
      </c>
      <c r="H167" s="8">
        <v>48.3</v>
      </c>
      <c r="I167" s="9">
        <v>10</v>
      </c>
      <c r="J167" s="8">
        <v>43.47</v>
      </c>
      <c r="K167" s="8">
        <v>10.06</v>
      </c>
      <c r="L167" s="10" t="s">
        <v>17</v>
      </c>
    </row>
    <row r="168" spans="1:12" x14ac:dyDescent="0.3">
      <c r="A168" s="5" t="s">
        <v>395</v>
      </c>
      <c r="B168" s="6">
        <v>45753</v>
      </c>
      <c r="C168" s="7" t="s">
        <v>396</v>
      </c>
      <c r="D168" s="7" t="s">
        <v>14</v>
      </c>
      <c r="E168" s="7" t="s">
        <v>43</v>
      </c>
      <c r="F168" s="7" t="s">
        <v>22</v>
      </c>
      <c r="G168" s="7">
        <v>3</v>
      </c>
      <c r="H168" s="8">
        <v>14.71</v>
      </c>
      <c r="I168" s="9">
        <v>5</v>
      </c>
      <c r="J168" s="8">
        <v>41.92</v>
      </c>
      <c r="K168" s="8">
        <v>23.23</v>
      </c>
      <c r="L168" s="10" t="s">
        <v>17</v>
      </c>
    </row>
    <row r="169" spans="1:12" x14ac:dyDescent="0.3">
      <c r="A169" s="5" t="s">
        <v>397</v>
      </c>
      <c r="B169" s="6">
        <v>45641</v>
      </c>
      <c r="C169" s="7" t="s">
        <v>398</v>
      </c>
      <c r="D169" s="7" t="s">
        <v>37</v>
      </c>
      <c r="E169" s="7" t="s">
        <v>64</v>
      </c>
      <c r="F169" s="7" t="s">
        <v>16</v>
      </c>
      <c r="G169" s="7">
        <v>1</v>
      </c>
      <c r="H169" s="8">
        <v>74.36</v>
      </c>
      <c r="I169" s="9">
        <v>5</v>
      </c>
      <c r="J169" s="8">
        <v>70.64</v>
      </c>
      <c r="K169" s="8">
        <v>11.78</v>
      </c>
      <c r="L169" s="10" t="s">
        <v>17</v>
      </c>
    </row>
    <row r="170" spans="1:12" x14ac:dyDescent="0.3">
      <c r="A170" s="5" t="s">
        <v>399</v>
      </c>
      <c r="B170" s="6">
        <v>45572</v>
      </c>
      <c r="C170" s="7" t="s">
        <v>400</v>
      </c>
      <c r="D170" s="7" t="s">
        <v>14</v>
      </c>
      <c r="E170" s="7" t="s">
        <v>324</v>
      </c>
      <c r="F170" s="7" t="s">
        <v>16</v>
      </c>
      <c r="G170" s="7">
        <v>1</v>
      </c>
      <c r="H170" s="8">
        <v>86.89</v>
      </c>
      <c r="I170" s="9">
        <v>20</v>
      </c>
      <c r="J170" s="8">
        <v>69.510000000000005</v>
      </c>
      <c r="K170" s="8">
        <v>15.56</v>
      </c>
      <c r="L170" s="10" t="s">
        <v>23</v>
      </c>
    </row>
    <row r="171" spans="1:12" x14ac:dyDescent="0.3">
      <c r="A171" s="5" t="s">
        <v>401</v>
      </c>
      <c r="B171" s="6">
        <v>45565</v>
      </c>
      <c r="C171" s="7" t="s">
        <v>402</v>
      </c>
      <c r="D171" s="7" t="s">
        <v>26</v>
      </c>
      <c r="E171" s="7" t="s">
        <v>27</v>
      </c>
      <c r="F171" s="7" t="s">
        <v>22</v>
      </c>
      <c r="G171" s="7">
        <v>2</v>
      </c>
      <c r="H171" s="8">
        <v>26.41</v>
      </c>
      <c r="I171" s="9">
        <v>5</v>
      </c>
      <c r="J171" s="8">
        <v>50.18</v>
      </c>
      <c r="K171" s="8">
        <v>21.37</v>
      </c>
      <c r="L171" s="10" t="s">
        <v>23</v>
      </c>
    </row>
    <row r="172" spans="1:12" x14ac:dyDescent="0.3">
      <c r="A172" s="5" t="s">
        <v>403</v>
      </c>
      <c r="B172" s="6">
        <v>45560</v>
      </c>
      <c r="C172" s="7" t="s">
        <v>404</v>
      </c>
      <c r="D172" s="7" t="s">
        <v>42</v>
      </c>
      <c r="E172" s="7" t="s">
        <v>211</v>
      </c>
      <c r="F172" s="7" t="s">
        <v>39</v>
      </c>
      <c r="G172" s="7">
        <v>2</v>
      </c>
      <c r="H172" s="8">
        <v>55.17</v>
      </c>
      <c r="I172" s="9">
        <v>5</v>
      </c>
      <c r="J172" s="8">
        <v>104.82</v>
      </c>
      <c r="K172" s="8">
        <v>22.41</v>
      </c>
      <c r="L172" s="10" t="s">
        <v>17</v>
      </c>
    </row>
    <row r="173" spans="1:12" x14ac:dyDescent="0.3">
      <c r="A173" s="5" t="s">
        <v>405</v>
      </c>
      <c r="B173" s="6">
        <v>45492</v>
      </c>
      <c r="C173" s="7" t="s">
        <v>316</v>
      </c>
      <c r="D173" s="7" t="s">
        <v>37</v>
      </c>
      <c r="E173" s="7" t="s">
        <v>246</v>
      </c>
      <c r="F173" s="7" t="s">
        <v>75</v>
      </c>
      <c r="G173" s="7">
        <v>1</v>
      </c>
      <c r="H173" s="8">
        <v>39.69</v>
      </c>
      <c r="I173" s="9">
        <v>15</v>
      </c>
      <c r="J173" s="8">
        <v>33.74</v>
      </c>
      <c r="K173" s="8">
        <v>8.82</v>
      </c>
      <c r="L173" s="10" t="s">
        <v>17</v>
      </c>
    </row>
    <row r="174" spans="1:12" x14ac:dyDescent="0.3">
      <c r="A174" s="5" t="s">
        <v>406</v>
      </c>
      <c r="B174" s="6">
        <v>45831</v>
      </c>
      <c r="C174" s="7" t="s">
        <v>407</v>
      </c>
      <c r="D174" s="7" t="s">
        <v>37</v>
      </c>
      <c r="E174" s="7" t="s">
        <v>253</v>
      </c>
      <c r="F174" s="7" t="s">
        <v>49</v>
      </c>
      <c r="G174" s="7">
        <v>3</v>
      </c>
      <c r="H174" s="8">
        <v>66.8</v>
      </c>
      <c r="I174" s="9">
        <v>10</v>
      </c>
      <c r="J174" s="8">
        <v>180.36</v>
      </c>
      <c r="K174" s="8">
        <v>85.36</v>
      </c>
      <c r="L174" s="10" t="s">
        <v>17</v>
      </c>
    </row>
    <row r="175" spans="1:12" x14ac:dyDescent="0.3">
      <c r="A175" s="5" t="s">
        <v>408</v>
      </c>
      <c r="B175" s="6">
        <v>45325</v>
      </c>
      <c r="C175" s="7" t="s">
        <v>124</v>
      </c>
      <c r="D175" s="7" t="s">
        <v>26</v>
      </c>
      <c r="E175" s="7" t="s">
        <v>91</v>
      </c>
      <c r="F175" s="7" t="s">
        <v>49</v>
      </c>
      <c r="G175" s="7">
        <v>1</v>
      </c>
      <c r="H175" s="8">
        <v>45.6</v>
      </c>
      <c r="I175" s="9">
        <v>0</v>
      </c>
      <c r="J175" s="8">
        <v>45.6</v>
      </c>
      <c r="K175" s="8">
        <v>21.05</v>
      </c>
      <c r="L175" s="10" t="s">
        <v>17</v>
      </c>
    </row>
    <row r="176" spans="1:12" x14ac:dyDescent="0.3">
      <c r="A176" s="5" t="s">
        <v>409</v>
      </c>
      <c r="B176" s="6">
        <v>45746</v>
      </c>
      <c r="C176" s="7" t="s">
        <v>300</v>
      </c>
      <c r="D176" s="7" t="s">
        <v>37</v>
      </c>
      <c r="E176" s="7" t="s">
        <v>21</v>
      </c>
      <c r="F176" s="7" t="s">
        <v>22</v>
      </c>
      <c r="G176" s="7">
        <v>2</v>
      </c>
      <c r="H176" s="8">
        <v>25.7</v>
      </c>
      <c r="I176" s="9">
        <v>5</v>
      </c>
      <c r="J176" s="8">
        <v>48.83</v>
      </c>
      <c r="K176" s="8">
        <v>20.12</v>
      </c>
      <c r="L176" s="10" t="s">
        <v>34</v>
      </c>
    </row>
    <row r="177" spans="1:12" x14ac:dyDescent="0.3">
      <c r="A177" s="5" t="s">
        <v>410</v>
      </c>
      <c r="B177" s="6">
        <v>45650</v>
      </c>
      <c r="C177" s="7" t="s">
        <v>411</v>
      </c>
      <c r="D177" s="7" t="s">
        <v>20</v>
      </c>
      <c r="E177" s="7" t="s">
        <v>118</v>
      </c>
      <c r="F177" s="7" t="s">
        <v>49</v>
      </c>
      <c r="G177" s="7">
        <v>1</v>
      </c>
      <c r="H177" s="8">
        <v>68.930000000000007</v>
      </c>
      <c r="I177" s="9">
        <v>0</v>
      </c>
      <c r="J177" s="8">
        <v>68.930000000000007</v>
      </c>
      <c r="K177" s="8">
        <v>31.63</v>
      </c>
      <c r="L177" s="10" t="s">
        <v>34</v>
      </c>
    </row>
    <row r="178" spans="1:12" x14ac:dyDescent="0.3">
      <c r="A178" s="5" t="s">
        <v>412</v>
      </c>
      <c r="B178" s="6">
        <v>46000</v>
      </c>
      <c r="C178" s="7" t="s">
        <v>413</v>
      </c>
      <c r="D178" s="7" t="s">
        <v>37</v>
      </c>
      <c r="E178" s="7" t="s">
        <v>246</v>
      </c>
      <c r="F178" s="7" t="s">
        <v>75</v>
      </c>
      <c r="G178" s="7">
        <v>3</v>
      </c>
      <c r="H178" s="8">
        <v>44.99</v>
      </c>
      <c r="I178" s="9">
        <v>10</v>
      </c>
      <c r="J178" s="8">
        <v>121.47</v>
      </c>
      <c r="K178" s="8">
        <v>29.29</v>
      </c>
      <c r="L178" s="10" t="s">
        <v>17</v>
      </c>
    </row>
    <row r="179" spans="1:12" x14ac:dyDescent="0.3">
      <c r="A179" s="5" t="s">
        <v>414</v>
      </c>
      <c r="B179" s="6">
        <v>45576</v>
      </c>
      <c r="C179" s="7" t="s">
        <v>415</v>
      </c>
      <c r="D179" s="7" t="s">
        <v>20</v>
      </c>
      <c r="E179" s="7" t="s">
        <v>291</v>
      </c>
      <c r="F179" s="7" t="s">
        <v>22</v>
      </c>
      <c r="G179" s="7">
        <v>2</v>
      </c>
      <c r="H179" s="8">
        <v>44.77</v>
      </c>
      <c r="I179" s="9">
        <v>5</v>
      </c>
      <c r="J179" s="8">
        <v>85.06</v>
      </c>
      <c r="K179" s="8">
        <v>38.229999999999997</v>
      </c>
      <c r="L179" s="10" t="s">
        <v>23</v>
      </c>
    </row>
    <row r="180" spans="1:12" x14ac:dyDescent="0.3">
      <c r="A180" s="5" t="s">
        <v>416</v>
      </c>
      <c r="B180" s="6">
        <v>45606</v>
      </c>
      <c r="C180" s="7" t="s">
        <v>417</v>
      </c>
      <c r="D180" s="7" t="s">
        <v>26</v>
      </c>
      <c r="E180" s="7" t="s">
        <v>184</v>
      </c>
      <c r="F180" s="7" t="s">
        <v>49</v>
      </c>
      <c r="G180" s="7">
        <v>4</v>
      </c>
      <c r="H180" s="8">
        <v>85.36</v>
      </c>
      <c r="I180" s="9">
        <v>10</v>
      </c>
      <c r="J180" s="8">
        <v>307.3</v>
      </c>
      <c r="K180" s="8">
        <v>139.85</v>
      </c>
      <c r="L180" s="10" t="s">
        <v>17</v>
      </c>
    </row>
    <row r="181" spans="1:12" x14ac:dyDescent="0.3">
      <c r="A181" s="5" t="s">
        <v>418</v>
      </c>
      <c r="B181" s="6">
        <v>45949</v>
      </c>
      <c r="C181" s="7" t="s">
        <v>419</v>
      </c>
      <c r="D181" s="7" t="s">
        <v>37</v>
      </c>
      <c r="E181" s="7" t="s">
        <v>94</v>
      </c>
      <c r="F181" s="7" t="s">
        <v>75</v>
      </c>
      <c r="G181" s="7">
        <v>1</v>
      </c>
      <c r="H181" s="8">
        <v>15.42</v>
      </c>
      <c r="I181" s="9">
        <v>20</v>
      </c>
      <c r="J181" s="8">
        <v>12.34</v>
      </c>
      <c r="K181" s="8">
        <v>2.74</v>
      </c>
      <c r="L181" s="10" t="s">
        <v>17</v>
      </c>
    </row>
    <row r="182" spans="1:12" x14ac:dyDescent="0.3">
      <c r="A182" s="5" t="s">
        <v>420</v>
      </c>
      <c r="B182" s="6">
        <v>45367</v>
      </c>
      <c r="C182" s="7" t="s">
        <v>421</v>
      </c>
      <c r="D182" s="7" t="s">
        <v>14</v>
      </c>
      <c r="E182" s="7" t="s">
        <v>94</v>
      </c>
      <c r="F182" s="7" t="s">
        <v>75</v>
      </c>
      <c r="G182" s="7">
        <v>4</v>
      </c>
      <c r="H182" s="8">
        <v>59.46</v>
      </c>
      <c r="I182" s="9">
        <v>0</v>
      </c>
      <c r="J182" s="8">
        <v>237.84</v>
      </c>
      <c r="K182" s="8">
        <v>49.31</v>
      </c>
      <c r="L182" s="10" t="s">
        <v>17</v>
      </c>
    </row>
    <row r="183" spans="1:12" x14ac:dyDescent="0.3">
      <c r="A183" s="5" t="s">
        <v>422</v>
      </c>
      <c r="B183" s="6">
        <v>45871</v>
      </c>
      <c r="C183" s="7" t="s">
        <v>423</v>
      </c>
      <c r="D183" s="7" t="s">
        <v>37</v>
      </c>
      <c r="E183" s="7" t="s">
        <v>136</v>
      </c>
      <c r="F183" s="7" t="s">
        <v>75</v>
      </c>
      <c r="G183" s="7">
        <v>1</v>
      </c>
      <c r="H183" s="8">
        <v>32.9</v>
      </c>
      <c r="I183" s="9">
        <v>20</v>
      </c>
      <c r="J183" s="8">
        <v>26.32</v>
      </c>
      <c r="K183" s="8">
        <v>6.5</v>
      </c>
      <c r="L183" s="10" t="s">
        <v>17</v>
      </c>
    </row>
    <row r="184" spans="1:12" x14ac:dyDescent="0.3">
      <c r="A184" s="5" t="s">
        <v>424</v>
      </c>
      <c r="B184" s="6">
        <v>45908</v>
      </c>
      <c r="C184" s="7" t="s">
        <v>425</v>
      </c>
      <c r="D184" s="7" t="s">
        <v>42</v>
      </c>
      <c r="E184" s="7" t="s">
        <v>133</v>
      </c>
      <c r="F184" s="7" t="s">
        <v>75</v>
      </c>
      <c r="G184" s="7">
        <v>5</v>
      </c>
      <c r="H184" s="8">
        <v>36.86</v>
      </c>
      <c r="I184" s="9">
        <v>0</v>
      </c>
      <c r="J184" s="8">
        <v>184.3</v>
      </c>
      <c r="K184" s="8">
        <v>57.59</v>
      </c>
      <c r="L184" s="10" t="s">
        <v>23</v>
      </c>
    </row>
    <row r="185" spans="1:12" x14ac:dyDescent="0.3">
      <c r="A185" s="5" t="s">
        <v>426</v>
      </c>
      <c r="B185" s="6">
        <v>45733</v>
      </c>
      <c r="C185" s="7" t="s">
        <v>427</v>
      </c>
      <c r="D185" s="7" t="s">
        <v>37</v>
      </c>
      <c r="E185" s="7" t="s">
        <v>27</v>
      </c>
      <c r="F185" s="7" t="s">
        <v>22</v>
      </c>
      <c r="G185" s="7">
        <v>1</v>
      </c>
      <c r="H185" s="8">
        <v>18.100000000000001</v>
      </c>
      <c r="I185" s="9">
        <v>10</v>
      </c>
      <c r="J185" s="8">
        <v>16.29</v>
      </c>
      <c r="K185" s="8">
        <v>10.050000000000001</v>
      </c>
      <c r="L185" s="10" t="s">
        <v>17</v>
      </c>
    </row>
    <row r="186" spans="1:12" x14ac:dyDescent="0.3">
      <c r="A186" s="5" t="s">
        <v>428</v>
      </c>
      <c r="B186" s="6">
        <v>45619</v>
      </c>
      <c r="C186" s="7" t="s">
        <v>429</v>
      </c>
      <c r="D186" s="7" t="s">
        <v>37</v>
      </c>
      <c r="E186" s="7" t="s">
        <v>187</v>
      </c>
      <c r="F186" s="7" t="s">
        <v>75</v>
      </c>
      <c r="G186" s="7">
        <v>1</v>
      </c>
      <c r="H186" s="8">
        <v>26.44</v>
      </c>
      <c r="I186" s="9">
        <v>20</v>
      </c>
      <c r="J186" s="8">
        <v>21.15</v>
      </c>
      <c r="K186" s="8">
        <v>6.54</v>
      </c>
      <c r="L186" s="10" t="s">
        <v>17</v>
      </c>
    </row>
    <row r="187" spans="1:12" x14ac:dyDescent="0.3">
      <c r="A187" s="5" t="s">
        <v>430</v>
      </c>
      <c r="B187" s="6">
        <v>45430</v>
      </c>
      <c r="C187" s="7" t="s">
        <v>431</v>
      </c>
      <c r="D187" s="7" t="s">
        <v>14</v>
      </c>
      <c r="E187" s="7" t="s">
        <v>108</v>
      </c>
      <c r="F187" s="7" t="s">
        <v>75</v>
      </c>
      <c r="G187" s="7">
        <v>3</v>
      </c>
      <c r="H187" s="8">
        <v>50.02</v>
      </c>
      <c r="I187" s="9">
        <v>0</v>
      </c>
      <c r="J187" s="8">
        <v>150.06</v>
      </c>
      <c r="K187" s="8">
        <v>23.93</v>
      </c>
      <c r="L187" s="10" t="s">
        <v>23</v>
      </c>
    </row>
    <row r="188" spans="1:12" x14ac:dyDescent="0.3">
      <c r="A188" s="5" t="s">
        <v>432</v>
      </c>
      <c r="B188" s="6">
        <v>45300</v>
      </c>
      <c r="C188" s="7" t="s">
        <v>433</v>
      </c>
      <c r="D188" s="7" t="s">
        <v>42</v>
      </c>
      <c r="E188" s="7" t="s">
        <v>33</v>
      </c>
      <c r="F188" s="7" t="s">
        <v>16</v>
      </c>
      <c r="G188" s="7">
        <v>2</v>
      </c>
      <c r="H188" s="8">
        <v>133.88999999999999</v>
      </c>
      <c r="I188" s="9">
        <v>5</v>
      </c>
      <c r="J188" s="8">
        <v>254.39</v>
      </c>
      <c r="K188" s="8">
        <v>62.66</v>
      </c>
      <c r="L188" s="10" t="s">
        <v>17</v>
      </c>
    </row>
    <row r="189" spans="1:12" x14ac:dyDescent="0.3">
      <c r="A189" s="5" t="s">
        <v>434</v>
      </c>
      <c r="B189" s="6">
        <v>45920</v>
      </c>
      <c r="C189" s="7" t="s">
        <v>435</v>
      </c>
      <c r="D189" s="7" t="s">
        <v>37</v>
      </c>
      <c r="E189" s="7" t="s">
        <v>136</v>
      </c>
      <c r="F189" s="7" t="s">
        <v>75</v>
      </c>
      <c r="G189" s="7">
        <v>3</v>
      </c>
      <c r="H189" s="8">
        <v>13.52</v>
      </c>
      <c r="I189" s="9">
        <v>0</v>
      </c>
      <c r="J189" s="8">
        <v>40.56</v>
      </c>
      <c r="K189" s="8">
        <v>12.74</v>
      </c>
      <c r="L189" s="10" t="s">
        <v>23</v>
      </c>
    </row>
    <row r="190" spans="1:12" x14ac:dyDescent="0.3">
      <c r="A190" s="5" t="s">
        <v>436</v>
      </c>
      <c r="B190" s="6">
        <v>45711</v>
      </c>
      <c r="C190" s="7" t="s">
        <v>437</v>
      </c>
      <c r="D190" s="7" t="s">
        <v>20</v>
      </c>
      <c r="E190" s="7" t="s">
        <v>314</v>
      </c>
      <c r="F190" s="7" t="s">
        <v>16</v>
      </c>
      <c r="G190" s="7">
        <v>2</v>
      </c>
      <c r="H190" s="8">
        <v>43.95</v>
      </c>
      <c r="I190" s="9">
        <v>0</v>
      </c>
      <c r="J190" s="8">
        <v>87.9</v>
      </c>
      <c r="K190" s="8">
        <v>20.41</v>
      </c>
      <c r="L190" s="10" t="s">
        <v>17</v>
      </c>
    </row>
    <row r="191" spans="1:12" x14ac:dyDescent="0.3">
      <c r="A191" s="5" t="s">
        <v>438</v>
      </c>
      <c r="B191" s="6">
        <v>45775</v>
      </c>
      <c r="C191" s="7" t="s">
        <v>439</v>
      </c>
      <c r="D191" s="7" t="s">
        <v>20</v>
      </c>
      <c r="E191" s="7" t="s">
        <v>91</v>
      </c>
      <c r="F191" s="7" t="s">
        <v>49</v>
      </c>
      <c r="G191" s="7">
        <v>3</v>
      </c>
      <c r="H191" s="8">
        <v>62.83</v>
      </c>
      <c r="I191" s="9">
        <v>5</v>
      </c>
      <c r="J191" s="8">
        <v>179.07</v>
      </c>
      <c r="K191" s="8">
        <v>93.39</v>
      </c>
      <c r="L191" s="10" t="s">
        <v>17</v>
      </c>
    </row>
    <row r="192" spans="1:12" x14ac:dyDescent="0.3">
      <c r="A192" s="5" t="s">
        <v>440</v>
      </c>
      <c r="B192" s="6">
        <v>45402</v>
      </c>
      <c r="C192" s="7" t="s">
        <v>441</v>
      </c>
      <c r="D192" s="7" t="s">
        <v>42</v>
      </c>
      <c r="E192" s="7" t="s">
        <v>74</v>
      </c>
      <c r="F192" s="7" t="s">
        <v>75</v>
      </c>
      <c r="G192" s="7">
        <v>1</v>
      </c>
      <c r="H192" s="8">
        <v>29.58</v>
      </c>
      <c r="I192" s="9">
        <v>10</v>
      </c>
      <c r="J192" s="8">
        <v>26.62</v>
      </c>
      <c r="K192" s="8">
        <v>5.62</v>
      </c>
      <c r="L192" s="10" t="s">
        <v>17</v>
      </c>
    </row>
    <row r="193" spans="1:12" x14ac:dyDescent="0.3">
      <c r="A193" s="5" t="s">
        <v>442</v>
      </c>
      <c r="B193" s="6">
        <v>45556</v>
      </c>
      <c r="C193" s="7" t="s">
        <v>443</v>
      </c>
      <c r="D193" s="7" t="s">
        <v>14</v>
      </c>
      <c r="E193" s="7" t="s">
        <v>154</v>
      </c>
      <c r="F193" s="7" t="s">
        <v>39</v>
      </c>
      <c r="G193" s="7">
        <v>2</v>
      </c>
      <c r="H193" s="8">
        <v>24.89</v>
      </c>
      <c r="I193" s="9">
        <v>0</v>
      </c>
      <c r="J193" s="8">
        <v>49.78</v>
      </c>
      <c r="K193" s="8">
        <v>14.94</v>
      </c>
      <c r="L193" s="10" t="s">
        <v>17</v>
      </c>
    </row>
    <row r="194" spans="1:12" x14ac:dyDescent="0.3">
      <c r="A194" s="5" t="s">
        <v>444</v>
      </c>
      <c r="B194" s="6">
        <v>45917</v>
      </c>
      <c r="C194" s="7" t="s">
        <v>445</v>
      </c>
      <c r="D194" s="7" t="s">
        <v>37</v>
      </c>
      <c r="E194" s="7" t="s">
        <v>309</v>
      </c>
      <c r="F194" s="7" t="s">
        <v>75</v>
      </c>
      <c r="G194" s="7">
        <v>1</v>
      </c>
      <c r="H194" s="8">
        <v>15.93</v>
      </c>
      <c r="I194" s="9">
        <v>0</v>
      </c>
      <c r="J194" s="8">
        <v>15.93</v>
      </c>
      <c r="K194" s="8">
        <v>4.24</v>
      </c>
      <c r="L194" s="10" t="s">
        <v>23</v>
      </c>
    </row>
    <row r="195" spans="1:12" x14ac:dyDescent="0.3">
      <c r="A195" s="5" t="s">
        <v>446</v>
      </c>
      <c r="B195" s="6">
        <v>45810</v>
      </c>
      <c r="C195" s="7" t="s">
        <v>447</v>
      </c>
      <c r="D195" s="7" t="s">
        <v>14</v>
      </c>
      <c r="E195" s="7" t="s">
        <v>27</v>
      </c>
      <c r="F195" s="7" t="s">
        <v>22</v>
      </c>
      <c r="G195" s="7">
        <v>2</v>
      </c>
      <c r="H195" s="8">
        <v>24.88</v>
      </c>
      <c r="I195" s="9">
        <v>0</v>
      </c>
      <c r="J195" s="8">
        <v>49.76</v>
      </c>
      <c r="K195" s="8">
        <v>22.87</v>
      </c>
      <c r="L195" s="10" t="s">
        <v>23</v>
      </c>
    </row>
    <row r="196" spans="1:12" x14ac:dyDescent="0.3">
      <c r="A196" s="5" t="s">
        <v>448</v>
      </c>
      <c r="B196" s="6">
        <v>45605</v>
      </c>
      <c r="C196" s="7" t="s">
        <v>449</v>
      </c>
      <c r="D196" s="7" t="s">
        <v>20</v>
      </c>
      <c r="E196" s="7" t="s">
        <v>148</v>
      </c>
      <c r="F196" s="7" t="s">
        <v>16</v>
      </c>
      <c r="G196" s="7">
        <v>4</v>
      </c>
      <c r="H196" s="8">
        <v>83.12</v>
      </c>
      <c r="I196" s="9">
        <v>10</v>
      </c>
      <c r="J196" s="8">
        <v>299.23</v>
      </c>
      <c r="K196" s="8">
        <v>67.69</v>
      </c>
      <c r="L196" s="10" t="s">
        <v>23</v>
      </c>
    </row>
    <row r="197" spans="1:12" x14ac:dyDescent="0.3">
      <c r="A197" s="5" t="s">
        <v>450</v>
      </c>
      <c r="B197" s="6">
        <v>45315</v>
      </c>
      <c r="C197" s="7" t="s">
        <v>451</v>
      </c>
      <c r="D197" s="7" t="s">
        <v>37</v>
      </c>
      <c r="E197" s="7" t="s">
        <v>74</v>
      </c>
      <c r="F197" s="7" t="s">
        <v>75</v>
      </c>
      <c r="G197" s="7">
        <v>1</v>
      </c>
      <c r="H197" s="8">
        <v>56.36</v>
      </c>
      <c r="I197" s="9">
        <v>10</v>
      </c>
      <c r="J197" s="8">
        <v>50.72</v>
      </c>
      <c r="K197" s="8">
        <v>12.39</v>
      </c>
      <c r="L197" s="10" t="s">
        <v>17</v>
      </c>
    </row>
    <row r="198" spans="1:12" x14ac:dyDescent="0.3">
      <c r="A198" s="5" t="s">
        <v>452</v>
      </c>
      <c r="B198" s="6">
        <v>45972</v>
      </c>
      <c r="C198" s="7" t="s">
        <v>453</v>
      </c>
      <c r="D198" s="7" t="s">
        <v>14</v>
      </c>
      <c r="E198" s="7" t="s">
        <v>177</v>
      </c>
      <c r="F198" s="7" t="s">
        <v>49</v>
      </c>
      <c r="G198" s="7">
        <v>3</v>
      </c>
      <c r="H198" s="8">
        <v>50.3</v>
      </c>
      <c r="I198" s="9">
        <v>5</v>
      </c>
      <c r="J198" s="8">
        <v>143.35</v>
      </c>
      <c r="K198" s="8">
        <v>50.19</v>
      </c>
      <c r="L198" s="10" t="s">
        <v>17</v>
      </c>
    </row>
    <row r="199" spans="1:12" x14ac:dyDescent="0.3">
      <c r="A199" s="5" t="s">
        <v>454</v>
      </c>
      <c r="B199" s="6">
        <v>45876</v>
      </c>
      <c r="C199" s="7" t="s">
        <v>455</v>
      </c>
      <c r="D199" s="7" t="s">
        <v>20</v>
      </c>
      <c r="E199" s="7" t="s">
        <v>136</v>
      </c>
      <c r="F199" s="7" t="s">
        <v>75</v>
      </c>
      <c r="G199" s="7">
        <v>1</v>
      </c>
      <c r="H199" s="8">
        <v>41.49</v>
      </c>
      <c r="I199" s="9">
        <v>0</v>
      </c>
      <c r="J199" s="8">
        <v>41.49</v>
      </c>
      <c r="K199" s="8">
        <v>13.03</v>
      </c>
      <c r="L199" s="10" t="s">
        <v>17</v>
      </c>
    </row>
    <row r="200" spans="1:12" x14ac:dyDescent="0.3">
      <c r="A200" s="5" t="s">
        <v>456</v>
      </c>
      <c r="B200" s="6">
        <v>45873</v>
      </c>
      <c r="C200" s="7" t="s">
        <v>457</v>
      </c>
      <c r="D200" s="7" t="s">
        <v>20</v>
      </c>
      <c r="E200" s="7" t="s">
        <v>246</v>
      </c>
      <c r="F200" s="7" t="s">
        <v>75</v>
      </c>
      <c r="G200" s="7">
        <v>1</v>
      </c>
      <c r="H200" s="8">
        <v>14.46</v>
      </c>
      <c r="I200" s="9">
        <v>0</v>
      </c>
      <c r="J200" s="8">
        <v>14.46</v>
      </c>
      <c r="K200" s="8">
        <v>2.73</v>
      </c>
      <c r="L200" s="10" t="s">
        <v>23</v>
      </c>
    </row>
    <row r="201" spans="1:12" x14ac:dyDescent="0.3">
      <c r="A201" s="5" t="s">
        <v>458</v>
      </c>
      <c r="B201" s="6">
        <v>45605</v>
      </c>
      <c r="C201" s="7" t="s">
        <v>459</v>
      </c>
      <c r="D201" s="7" t="s">
        <v>20</v>
      </c>
      <c r="E201" s="7" t="s">
        <v>460</v>
      </c>
      <c r="F201" s="7" t="s">
        <v>75</v>
      </c>
      <c r="G201" s="7">
        <v>2</v>
      </c>
      <c r="H201" s="8">
        <v>37.79</v>
      </c>
      <c r="I201" s="9">
        <v>5</v>
      </c>
      <c r="J201" s="8">
        <v>71.8</v>
      </c>
      <c r="K201" s="8">
        <v>18.96</v>
      </c>
      <c r="L201" s="10" t="s">
        <v>17</v>
      </c>
    </row>
    <row r="202" spans="1:12" x14ac:dyDescent="0.3">
      <c r="A202" s="5" t="s">
        <v>461</v>
      </c>
      <c r="B202" s="6">
        <v>45567</v>
      </c>
      <c r="C202" s="7" t="s">
        <v>29</v>
      </c>
      <c r="D202" s="7" t="s">
        <v>14</v>
      </c>
      <c r="E202" s="7" t="s">
        <v>15</v>
      </c>
      <c r="F202" s="7" t="s">
        <v>16</v>
      </c>
      <c r="G202" s="7">
        <v>1</v>
      </c>
      <c r="H202" s="8">
        <v>108.05</v>
      </c>
      <c r="I202" s="9">
        <v>5</v>
      </c>
      <c r="J202" s="8">
        <v>102.65</v>
      </c>
      <c r="K202" s="8">
        <v>25.6</v>
      </c>
      <c r="L202" s="10" t="s">
        <v>17</v>
      </c>
    </row>
    <row r="203" spans="1:12" x14ac:dyDescent="0.3">
      <c r="A203" s="5" t="s">
        <v>462</v>
      </c>
      <c r="B203" s="6">
        <v>45775</v>
      </c>
      <c r="C203" s="7" t="s">
        <v>463</v>
      </c>
      <c r="D203" s="7" t="s">
        <v>14</v>
      </c>
      <c r="E203" s="7" t="s">
        <v>151</v>
      </c>
      <c r="F203" s="7" t="s">
        <v>39</v>
      </c>
      <c r="G203" s="7">
        <v>1</v>
      </c>
      <c r="H203" s="8">
        <v>78.67</v>
      </c>
      <c r="I203" s="9">
        <v>10</v>
      </c>
      <c r="J203" s="8">
        <v>70.8</v>
      </c>
      <c r="K203" s="8">
        <v>20.41</v>
      </c>
      <c r="L203" s="10" t="s">
        <v>17</v>
      </c>
    </row>
    <row r="204" spans="1:12" x14ac:dyDescent="0.3">
      <c r="A204" s="5" t="s">
        <v>464</v>
      </c>
      <c r="B204" s="6">
        <v>45868</v>
      </c>
      <c r="C204" s="7" t="s">
        <v>465</v>
      </c>
      <c r="D204" s="7" t="s">
        <v>26</v>
      </c>
      <c r="E204" s="7" t="s">
        <v>55</v>
      </c>
      <c r="F204" s="7" t="s">
        <v>16</v>
      </c>
      <c r="G204" s="7">
        <v>2</v>
      </c>
      <c r="H204" s="8">
        <v>71.650000000000006</v>
      </c>
      <c r="I204" s="9">
        <v>0</v>
      </c>
      <c r="J204" s="8">
        <v>143.30000000000001</v>
      </c>
      <c r="K204" s="8">
        <v>17.54</v>
      </c>
      <c r="L204" s="10" t="s">
        <v>23</v>
      </c>
    </row>
    <row r="205" spans="1:12" x14ac:dyDescent="0.3">
      <c r="A205" s="5" t="s">
        <v>466</v>
      </c>
      <c r="B205" s="6">
        <v>45469</v>
      </c>
      <c r="C205" s="7" t="s">
        <v>467</v>
      </c>
      <c r="D205" s="7" t="s">
        <v>42</v>
      </c>
      <c r="E205" s="7" t="s">
        <v>61</v>
      </c>
      <c r="F205" s="7" t="s">
        <v>39</v>
      </c>
      <c r="G205" s="7">
        <v>1</v>
      </c>
      <c r="H205" s="8">
        <v>62.54</v>
      </c>
      <c r="I205" s="9">
        <v>25</v>
      </c>
      <c r="J205" s="8">
        <v>46.91</v>
      </c>
      <c r="K205" s="8">
        <v>11.83</v>
      </c>
      <c r="L205" s="10" t="s">
        <v>17</v>
      </c>
    </row>
    <row r="206" spans="1:12" x14ac:dyDescent="0.3">
      <c r="A206" s="5" t="s">
        <v>468</v>
      </c>
      <c r="B206" s="6">
        <v>45887</v>
      </c>
      <c r="C206" s="7" t="s">
        <v>469</v>
      </c>
      <c r="D206" s="7" t="s">
        <v>20</v>
      </c>
      <c r="E206" s="7" t="s">
        <v>105</v>
      </c>
      <c r="F206" s="7" t="s">
        <v>39</v>
      </c>
      <c r="G206" s="7">
        <v>1</v>
      </c>
      <c r="H206" s="8">
        <v>47.81</v>
      </c>
      <c r="I206" s="9">
        <v>10</v>
      </c>
      <c r="J206" s="8">
        <v>43.03</v>
      </c>
      <c r="K206" s="8">
        <v>13.13</v>
      </c>
      <c r="L206" s="10" t="s">
        <v>17</v>
      </c>
    </row>
    <row r="207" spans="1:12" x14ac:dyDescent="0.3">
      <c r="A207" s="5" t="s">
        <v>470</v>
      </c>
      <c r="B207" s="6">
        <v>45629</v>
      </c>
      <c r="C207" s="7" t="s">
        <v>471</v>
      </c>
      <c r="D207" s="7" t="s">
        <v>42</v>
      </c>
      <c r="E207" s="7" t="s">
        <v>21</v>
      </c>
      <c r="F207" s="7" t="s">
        <v>22</v>
      </c>
      <c r="G207" s="7">
        <v>5</v>
      </c>
      <c r="H207" s="8">
        <v>28.97</v>
      </c>
      <c r="I207" s="9">
        <v>20</v>
      </c>
      <c r="J207" s="8">
        <v>115.88</v>
      </c>
      <c r="K207" s="8">
        <v>69.040000000000006</v>
      </c>
      <c r="L207" s="10" t="s">
        <v>17</v>
      </c>
    </row>
    <row r="208" spans="1:12" x14ac:dyDescent="0.3">
      <c r="A208" s="5" t="s">
        <v>472</v>
      </c>
      <c r="B208" s="6">
        <v>45906</v>
      </c>
      <c r="C208" s="7" t="s">
        <v>473</v>
      </c>
      <c r="D208" s="7" t="s">
        <v>20</v>
      </c>
      <c r="E208" s="7" t="s">
        <v>309</v>
      </c>
      <c r="F208" s="7" t="s">
        <v>75</v>
      </c>
      <c r="G208" s="7">
        <v>1</v>
      </c>
      <c r="H208" s="8">
        <v>37.72</v>
      </c>
      <c r="I208" s="9">
        <v>20</v>
      </c>
      <c r="J208" s="8">
        <v>30.18</v>
      </c>
      <c r="K208" s="8">
        <v>6.75</v>
      </c>
      <c r="L208" s="10" t="s">
        <v>17</v>
      </c>
    </row>
    <row r="209" spans="1:12" x14ac:dyDescent="0.3">
      <c r="A209" s="5" t="s">
        <v>474</v>
      </c>
      <c r="B209" s="6">
        <v>45325</v>
      </c>
      <c r="C209" s="7" t="s">
        <v>475</v>
      </c>
      <c r="D209" s="7" t="s">
        <v>14</v>
      </c>
      <c r="E209" s="7" t="s">
        <v>314</v>
      </c>
      <c r="F209" s="7" t="s">
        <v>16</v>
      </c>
      <c r="G209" s="7">
        <v>1</v>
      </c>
      <c r="H209" s="8">
        <v>121.78</v>
      </c>
      <c r="I209" s="9">
        <v>5</v>
      </c>
      <c r="J209" s="8">
        <v>115.69</v>
      </c>
      <c r="K209" s="8">
        <v>14.53</v>
      </c>
      <c r="L209" s="10" t="s">
        <v>23</v>
      </c>
    </row>
    <row r="210" spans="1:12" x14ac:dyDescent="0.3">
      <c r="A210" s="5" t="s">
        <v>476</v>
      </c>
      <c r="B210" s="6">
        <v>45942</v>
      </c>
      <c r="C210" s="7" t="s">
        <v>477</v>
      </c>
      <c r="D210" s="7" t="s">
        <v>37</v>
      </c>
      <c r="E210" s="7" t="s">
        <v>148</v>
      </c>
      <c r="F210" s="7" t="s">
        <v>16</v>
      </c>
      <c r="G210" s="7">
        <v>1</v>
      </c>
      <c r="H210" s="8">
        <v>25.83</v>
      </c>
      <c r="I210" s="9">
        <v>0</v>
      </c>
      <c r="J210" s="8">
        <v>25.83</v>
      </c>
      <c r="K210" s="8">
        <v>2.27</v>
      </c>
      <c r="L210" s="10" t="s">
        <v>23</v>
      </c>
    </row>
    <row r="211" spans="1:12" x14ac:dyDescent="0.3">
      <c r="A211" s="5" t="s">
        <v>478</v>
      </c>
      <c r="B211" s="6">
        <v>45361</v>
      </c>
      <c r="C211" s="7" t="s">
        <v>479</v>
      </c>
      <c r="D211" s="7" t="s">
        <v>14</v>
      </c>
      <c r="E211" s="7" t="s">
        <v>105</v>
      </c>
      <c r="F211" s="7" t="s">
        <v>39</v>
      </c>
      <c r="G211" s="7">
        <v>1</v>
      </c>
      <c r="H211" s="8">
        <v>15.84</v>
      </c>
      <c r="I211" s="9">
        <v>0</v>
      </c>
      <c r="J211" s="8">
        <v>15.84</v>
      </c>
      <c r="K211" s="8">
        <v>5.61</v>
      </c>
      <c r="L211" s="10" t="s">
        <v>17</v>
      </c>
    </row>
    <row r="212" spans="1:12" x14ac:dyDescent="0.3">
      <c r="A212" s="5" t="s">
        <v>480</v>
      </c>
      <c r="B212" s="6">
        <v>45854</v>
      </c>
      <c r="C212" s="7" t="s">
        <v>481</v>
      </c>
      <c r="D212" s="7" t="s">
        <v>26</v>
      </c>
      <c r="E212" s="7" t="s">
        <v>21</v>
      </c>
      <c r="F212" s="7" t="s">
        <v>22</v>
      </c>
      <c r="G212" s="7">
        <v>5</v>
      </c>
      <c r="H212" s="8">
        <v>34.72</v>
      </c>
      <c r="I212" s="9">
        <v>10</v>
      </c>
      <c r="J212" s="8">
        <v>156.24</v>
      </c>
      <c r="K212" s="8">
        <v>70.06</v>
      </c>
      <c r="L212" s="10" t="s">
        <v>23</v>
      </c>
    </row>
    <row r="213" spans="1:12" x14ac:dyDescent="0.3">
      <c r="A213" s="5" t="s">
        <v>482</v>
      </c>
      <c r="B213" s="6">
        <v>45333</v>
      </c>
      <c r="C213" s="7" t="s">
        <v>483</v>
      </c>
      <c r="D213" s="7" t="s">
        <v>37</v>
      </c>
      <c r="E213" s="7" t="s">
        <v>148</v>
      </c>
      <c r="F213" s="7" t="s">
        <v>16</v>
      </c>
      <c r="G213" s="7">
        <v>1</v>
      </c>
      <c r="H213" s="8">
        <v>89.98</v>
      </c>
      <c r="I213" s="9">
        <v>0</v>
      </c>
      <c r="J213" s="8">
        <v>89.98</v>
      </c>
      <c r="K213" s="8">
        <v>11.46</v>
      </c>
      <c r="L213" s="10" t="s">
        <v>17</v>
      </c>
    </row>
    <row r="214" spans="1:12" x14ac:dyDescent="0.3">
      <c r="A214" s="5" t="s">
        <v>484</v>
      </c>
      <c r="B214" s="6">
        <v>45588</v>
      </c>
      <c r="C214" s="7" t="s">
        <v>485</v>
      </c>
      <c r="D214" s="7" t="s">
        <v>42</v>
      </c>
      <c r="E214" s="7" t="s">
        <v>154</v>
      </c>
      <c r="F214" s="7" t="s">
        <v>39</v>
      </c>
      <c r="G214" s="7">
        <v>1</v>
      </c>
      <c r="H214" s="8">
        <v>46.48</v>
      </c>
      <c r="I214" s="9">
        <v>0</v>
      </c>
      <c r="J214" s="8">
        <v>46.48</v>
      </c>
      <c r="K214" s="8">
        <v>14.79</v>
      </c>
      <c r="L214" s="10" t="s">
        <v>17</v>
      </c>
    </row>
    <row r="215" spans="1:12" x14ac:dyDescent="0.3">
      <c r="A215" s="5" t="s">
        <v>486</v>
      </c>
      <c r="B215" s="6">
        <v>45576</v>
      </c>
      <c r="C215" s="7" t="s">
        <v>487</v>
      </c>
      <c r="D215" s="7" t="s">
        <v>20</v>
      </c>
      <c r="E215" s="7" t="s">
        <v>269</v>
      </c>
      <c r="F215" s="7" t="s">
        <v>75</v>
      </c>
      <c r="G215" s="7">
        <v>2</v>
      </c>
      <c r="H215" s="8">
        <v>40.67</v>
      </c>
      <c r="I215" s="9">
        <v>15</v>
      </c>
      <c r="J215" s="8">
        <v>69.14</v>
      </c>
      <c r="K215" s="8">
        <v>12.37</v>
      </c>
      <c r="L215" s="10" t="s">
        <v>17</v>
      </c>
    </row>
    <row r="216" spans="1:12" x14ac:dyDescent="0.3">
      <c r="A216" s="5" t="s">
        <v>488</v>
      </c>
      <c r="B216" s="6">
        <v>45891</v>
      </c>
      <c r="C216" s="7" t="s">
        <v>372</v>
      </c>
      <c r="D216" s="7" t="s">
        <v>14</v>
      </c>
      <c r="E216" s="7" t="s">
        <v>74</v>
      </c>
      <c r="F216" s="7" t="s">
        <v>75</v>
      </c>
      <c r="G216" s="7">
        <v>1</v>
      </c>
      <c r="H216" s="8">
        <v>57.55</v>
      </c>
      <c r="I216" s="9">
        <v>15</v>
      </c>
      <c r="J216" s="8">
        <v>48.92</v>
      </c>
      <c r="K216" s="8">
        <v>10.77</v>
      </c>
      <c r="L216" s="10" t="s">
        <v>17</v>
      </c>
    </row>
    <row r="217" spans="1:12" x14ac:dyDescent="0.3">
      <c r="A217" s="5" t="s">
        <v>489</v>
      </c>
      <c r="B217" s="6">
        <v>45670</v>
      </c>
      <c r="C217" s="7" t="s">
        <v>490</v>
      </c>
      <c r="D217" s="7" t="s">
        <v>14</v>
      </c>
      <c r="E217" s="7" t="s">
        <v>94</v>
      </c>
      <c r="F217" s="7" t="s">
        <v>75</v>
      </c>
      <c r="G217" s="7">
        <v>1</v>
      </c>
      <c r="H217" s="8">
        <v>58.8</v>
      </c>
      <c r="I217" s="9">
        <v>5</v>
      </c>
      <c r="J217" s="8">
        <v>55.86</v>
      </c>
      <c r="K217" s="8">
        <v>13.33</v>
      </c>
      <c r="L217" s="10" t="s">
        <v>23</v>
      </c>
    </row>
    <row r="218" spans="1:12" x14ac:dyDescent="0.3">
      <c r="A218" s="5" t="s">
        <v>491</v>
      </c>
      <c r="B218" s="6">
        <v>45650</v>
      </c>
      <c r="C218" s="7" t="s">
        <v>492</v>
      </c>
      <c r="D218" s="7" t="s">
        <v>20</v>
      </c>
      <c r="E218" s="7" t="s">
        <v>133</v>
      </c>
      <c r="F218" s="7" t="s">
        <v>75</v>
      </c>
      <c r="G218" s="7">
        <v>2</v>
      </c>
      <c r="H218" s="8">
        <v>46.51</v>
      </c>
      <c r="I218" s="9">
        <v>0</v>
      </c>
      <c r="J218" s="8">
        <v>93.02</v>
      </c>
      <c r="K218" s="8">
        <v>22.98</v>
      </c>
      <c r="L218" s="10" t="s">
        <v>23</v>
      </c>
    </row>
    <row r="219" spans="1:12" x14ac:dyDescent="0.3">
      <c r="A219" s="5" t="s">
        <v>493</v>
      </c>
      <c r="B219" s="6">
        <v>45628</v>
      </c>
      <c r="C219" s="7" t="s">
        <v>494</v>
      </c>
      <c r="D219" s="7" t="s">
        <v>26</v>
      </c>
      <c r="E219" s="7" t="s">
        <v>52</v>
      </c>
      <c r="F219" s="7" t="s">
        <v>39</v>
      </c>
      <c r="G219" s="7">
        <v>5</v>
      </c>
      <c r="H219" s="8">
        <v>71.5</v>
      </c>
      <c r="I219" s="9">
        <v>0</v>
      </c>
      <c r="J219" s="8">
        <v>357.5</v>
      </c>
      <c r="K219" s="8">
        <v>118.84</v>
      </c>
      <c r="L219" s="10" t="s">
        <v>17</v>
      </c>
    </row>
    <row r="220" spans="1:12" x14ac:dyDescent="0.3">
      <c r="A220" s="5" t="s">
        <v>495</v>
      </c>
      <c r="B220" s="6">
        <v>45475</v>
      </c>
      <c r="C220" s="7" t="s">
        <v>496</v>
      </c>
      <c r="D220" s="7" t="s">
        <v>37</v>
      </c>
      <c r="E220" s="7" t="s">
        <v>94</v>
      </c>
      <c r="F220" s="7" t="s">
        <v>75</v>
      </c>
      <c r="G220" s="7">
        <v>1</v>
      </c>
      <c r="H220" s="8">
        <v>32.61</v>
      </c>
      <c r="I220" s="9">
        <v>10</v>
      </c>
      <c r="J220" s="8">
        <v>29.35</v>
      </c>
      <c r="K220" s="8">
        <v>9.36</v>
      </c>
      <c r="L220" s="10" t="s">
        <v>23</v>
      </c>
    </row>
    <row r="221" spans="1:12" x14ac:dyDescent="0.3">
      <c r="A221" s="5" t="s">
        <v>497</v>
      </c>
      <c r="B221" s="6">
        <v>45669</v>
      </c>
      <c r="C221" s="7" t="s">
        <v>498</v>
      </c>
      <c r="D221" s="7" t="s">
        <v>26</v>
      </c>
      <c r="E221" s="7" t="s">
        <v>111</v>
      </c>
      <c r="F221" s="7" t="s">
        <v>49</v>
      </c>
      <c r="G221" s="7">
        <v>2</v>
      </c>
      <c r="H221" s="8">
        <v>62.72</v>
      </c>
      <c r="I221" s="9">
        <v>5</v>
      </c>
      <c r="J221" s="8">
        <v>119.17</v>
      </c>
      <c r="K221" s="8">
        <v>46.71</v>
      </c>
      <c r="L221" s="10" t="s">
        <v>17</v>
      </c>
    </row>
    <row r="222" spans="1:12" x14ac:dyDescent="0.3">
      <c r="A222" s="5" t="s">
        <v>499</v>
      </c>
      <c r="B222" s="6">
        <v>45768</v>
      </c>
      <c r="C222" s="7" t="s">
        <v>264</v>
      </c>
      <c r="D222" s="7" t="s">
        <v>42</v>
      </c>
      <c r="E222" s="7" t="s">
        <v>61</v>
      </c>
      <c r="F222" s="7" t="s">
        <v>39</v>
      </c>
      <c r="G222" s="7">
        <v>1</v>
      </c>
      <c r="H222" s="8">
        <v>36.03</v>
      </c>
      <c r="I222" s="9">
        <v>15</v>
      </c>
      <c r="J222" s="8">
        <v>30.63</v>
      </c>
      <c r="K222" s="8">
        <v>11.85</v>
      </c>
      <c r="L222" s="10" t="s">
        <v>23</v>
      </c>
    </row>
    <row r="223" spans="1:12" x14ac:dyDescent="0.3">
      <c r="A223" s="5" t="s">
        <v>500</v>
      </c>
      <c r="B223" s="6">
        <v>45984</v>
      </c>
      <c r="C223" s="7" t="s">
        <v>501</v>
      </c>
      <c r="D223" s="7" t="s">
        <v>37</v>
      </c>
      <c r="E223" s="7" t="s">
        <v>502</v>
      </c>
      <c r="F223" s="7" t="s">
        <v>22</v>
      </c>
      <c r="G223" s="7">
        <v>2</v>
      </c>
      <c r="H223" s="8">
        <v>22.66</v>
      </c>
      <c r="I223" s="9">
        <v>5</v>
      </c>
      <c r="J223" s="8">
        <v>43.05</v>
      </c>
      <c r="K223" s="8">
        <v>26.21</v>
      </c>
      <c r="L223" s="10" t="s">
        <v>23</v>
      </c>
    </row>
    <row r="224" spans="1:12" x14ac:dyDescent="0.3">
      <c r="A224" s="5" t="s">
        <v>503</v>
      </c>
      <c r="B224" s="6">
        <v>45436</v>
      </c>
      <c r="C224" s="7" t="s">
        <v>504</v>
      </c>
      <c r="D224" s="7" t="s">
        <v>14</v>
      </c>
      <c r="E224" s="7" t="s">
        <v>27</v>
      </c>
      <c r="F224" s="7" t="s">
        <v>22</v>
      </c>
      <c r="G224" s="7">
        <v>3</v>
      </c>
      <c r="H224" s="8">
        <v>25.71</v>
      </c>
      <c r="I224" s="9">
        <v>0</v>
      </c>
      <c r="J224" s="8">
        <v>77.13</v>
      </c>
      <c r="K224" s="8">
        <v>49.28</v>
      </c>
      <c r="L224" s="10" t="s">
        <v>17</v>
      </c>
    </row>
    <row r="225" spans="1:12" x14ac:dyDescent="0.3">
      <c r="A225" s="5" t="s">
        <v>505</v>
      </c>
      <c r="B225" s="6">
        <v>45529</v>
      </c>
      <c r="C225" s="7" t="s">
        <v>506</v>
      </c>
      <c r="D225" s="7" t="s">
        <v>37</v>
      </c>
      <c r="E225" s="7" t="s">
        <v>64</v>
      </c>
      <c r="F225" s="7" t="s">
        <v>16</v>
      </c>
      <c r="G225" s="7">
        <v>1</v>
      </c>
      <c r="H225" s="8">
        <v>132.55000000000001</v>
      </c>
      <c r="I225" s="9">
        <v>5</v>
      </c>
      <c r="J225" s="8">
        <v>125.92</v>
      </c>
      <c r="K225" s="8">
        <v>18.03</v>
      </c>
      <c r="L225" s="10" t="s">
        <v>17</v>
      </c>
    </row>
    <row r="226" spans="1:12" x14ac:dyDescent="0.3">
      <c r="A226" s="5" t="s">
        <v>507</v>
      </c>
      <c r="B226" s="6">
        <v>45888</v>
      </c>
      <c r="C226" s="7" t="s">
        <v>508</v>
      </c>
      <c r="D226" s="7" t="s">
        <v>37</v>
      </c>
      <c r="E226" s="7" t="s">
        <v>38</v>
      </c>
      <c r="F226" s="7" t="s">
        <v>39</v>
      </c>
      <c r="G226" s="7">
        <v>2</v>
      </c>
      <c r="H226" s="8">
        <v>31.36</v>
      </c>
      <c r="I226" s="9">
        <v>0</v>
      </c>
      <c r="J226" s="8">
        <v>62.72</v>
      </c>
      <c r="K226" s="8">
        <v>14.29</v>
      </c>
      <c r="L226" s="10" t="s">
        <v>23</v>
      </c>
    </row>
    <row r="227" spans="1:12" x14ac:dyDescent="0.3">
      <c r="A227" s="5" t="s">
        <v>509</v>
      </c>
      <c r="B227" s="6">
        <v>45482</v>
      </c>
      <c r="C227" s="7" t="s">
        <v>510</v>
      </c>
      <c r="D227" s="7" t="s">
        <v>42</v>
      </c>
      <c r="E227" s="7" t="s">
        <v>83</v>
      </c>
      <c r="F227" s="7" t="s">
        <v>22</v>
      </c>
      <c r="G227" s="7">
        <v>2</v>
      </c>
      <c r="H227" s="8">
        <v>28.43</v>
      </c>
      <c r="I227" s="9">
        <v>15</v>
      </c>
      <c r="J227" s="8">
        <v>48.33</v>
      </c>
      <c r="K227" s="8">
        <v>21.21</v>
      </c>
      <c r="L227" s="10" t="s">
        <v>17</v>
      </c>
    </row>
    <row r="228" spans="1:12" x14ac:dyDescent="0.3">
      <c r="A228" s="5" t="s">
        <v>511</v>
      </c>
      <c r="B228" s="6">
        <v>45397</v>
      </c>
      <c r="C228" s="7" t="s">
        <v>512</v>
      </c>
      <c r="D228" s="7" t="s">
        <v>14</v>
      </c>
      <c r="E228" s="7" t="s">
        <v>105</v>
      </c>
      <c r="F228" s="7" t="s">
        <v>39</v>
      </c>
      <c r="G228" s="7">
        <v>4</v>
      </c>
      <c r="H228" s="8">
        <v>42.76</v>
      </c>
      <c r="I228" s="9">
        <v>0</v>
      </c>
      <c r="J228" s="8">
        <v>171.04</v>
      </c>
      <c r="K228" s="8">
        <v>42.25</v>
      </c>
      <c r="L228" s="10" t="s">
        <v>23</v>
      </c>
    </row>
    <row r="229" spans="1:12" x14ac:dyDescent="0.3">
      <c r="A229" s="5" t="s">
        <v>513</v>
      </c>
      <c r="B229" s="6">
        <v>46006</v>
      </c>
      <c r="C229" s="7" t="s">
        <v>514</v>
      </c>
      <c r="D229" s="7" t="s">
        <v>42</v>
      </c>
      <c r="E229" s="7" t="s">
        <v>227</v>
      </c>
      <c r="F229" s="7" t="s">
        <v>39</v>
      </c>
      <c r="G229" s="7">
        <v>2</v>
      </c>
      <c r="H229" s="8">
        <v>58.11</v>
      </c>
      <c r="I229" s="9">
        <v>5</v>
      </c>
      <c r="J229" s="8">
        <v>110.41</v>
      </c>
      <c r="K229" s="8">
        <v>36.15</v>
      </c>
      <c r="L229" s="10" t="s">
        <v>17</v>
      </c>
    </row>
    <row r="230" spans="1:12" x14ac:dyDescent="0.3">
      <c r="A230" s="5" t="s">
        <v>515</v>
      </c>
      <c r="B230" s="6">
        <v>45498</v>
      </c>
      <c r="C230" s="7" t="s">
        <v>516</v>
      </c>
      <c r="D230" s="7" t="s">
        <v>37</v>
      </c>
      <c r="E230" s="7" t="s">
        <v>27</v>
      </c>
      <c r="F230" s="7" t="s">
        <v>22</v>
      </c>
      <c r="G230" s="7">
        <v>4</v>
      </c>
      <c r="H230" s="8">
        <v>14.46</v>
      </c>
      <c r="I230" s="9">
        <v>10</v>
      </c>
      <c r="J230" s="8">
        <v>52.06</v>
      </c>
      <c r="K230" s="8">
        <v>22.64</v>
      </c>
      <c r="L230" s="10" t="s">
        <v>23</v>
      </c>
    </row>
    <row r="231" spans="1:12" x14ac:dyDescent="0.3">
      <c r="A231" s="5" t="s">
        <v>517</v>
      </c>
      <c r="B231" s="6">
        <v>45313</v>
      </c>
      <c r="C231" s="7" t="s">
        <v>518</v>
      </c>
      <c r="D231" s="7" t="s">
        <v>37</v>
      </c>
      <c r="E231" s="7" t="s">
        <v>136</v>
      </c>
      <c r="F231" s="7" t="s">
        <v>75</v>
      </c>
      <c r="G231" s="7">
        <v>3</v>
      </c>
      <c r="H231" s="8">
        <v>36.28</v>
      </c>
      <c r="I231" s="9">
        <v>10</v>
      </c>
      <c r="J231" s="8">
        <v>97.96</v>
      </c>
      <c r="K231" s="8">
        <v>29.98</v>
      </c>
      <c r="L231" s="10" t="s">
        <v>17</v>
      </c>
    </row>
    <row r="232" spans="1:12" x14ac:dyDescent="0.3">
      <c r="A232" s="5" t="s">
        <v>519</v>
      </c>
      <c r="B232" s="6">
        <v>45388</v>
      </c>
      <c r="C232" s="7" t="s">
        <v>520</v>
      </c>
      <c r="D232" s="7" t="s">
        <v>42</v>
      </c>
      <c r="E232" s="7" t="s">
        <v>253</v>
      </c>
      <c r="F232" s="7" t="s">
        <v>49</v>
      </c>
      <c r="G232" s="7">
        <v>5</v>
      </c>
      <c r="H232" s="8">
        <v>52.55</v>
      </c>
      <c r="I232" s="9">
        <v>0</v>
      </c>
      <c r="J232" s="8">
        <v>262.75</v>
      </c>
      <c r="K232" s="8">
        <v>90.22</v>
      </c>
      <c r="L232" s="10" t="s">
        <v>23</v>
      </c>
    </row>
    <row r="233" spans="1:12" x14ac:dyDescent="0.3">
      <c r="A233" s="5" t="s">
        <v>521</v>
      </c>
      <c r="B233" s="6">
        <v>45301</v>
      </c>
      <c r="C233" s="7" t="s">
        <v>407</v>
      </c>
      <c r="D233" s="7" t="s">
        <v>42</v>
      </c>
      <c r="E233" s="7" t="s">
        <v>111</v>
      </c>
      <c r="F233" s="7" t="s">
        <v>49</v>
      </c>
      <c r="G233" s="7">
        <v>2</v>
      </c>
      <c r="H233" s="8">
        <v>50.79</v>
      </c>
      <c r="I233" s="9">
        <v>5</v>
      </c>
      <c r="J233" s="8">
        <v>96.5</v>
      </c>
      <c r="K233" s="8">
        <v>43.48</v>
      </c>
      <c r="L233" s="10" t="s">
        <v>23</v>
      </c>
    </row>
    <row r="234" spans="1:12" x14ac:dyDescent="0.3">
      <c r="A234" s="5" t="s">
        <v>522</v>
      </c>
      <c r="B234" s="6">
        <v>45550</v>
      </c>
      <c r="C234" s="7" t="s">
        <v>523</v>
      </c>
      <c r="D234" s="7" t="s">
        <v>14</v>
      </c>
      <c r="E234" s="7" t="s">
        <v>246</v>
      </c>
      <c r="F234" s="7" t="s">
        <v>75</v>
      </c>
      <c r="G234" s="7">
        <v>3</v>
      </c>
      <c r="H234" s="8">
        <v>31.22</v>
      </c>
      <c r="I234" s="9">
        <v>10</v>
      </c>
      <c r="J234" s="8">
        <v>84.29</v>
      </c>
      <c r="K234" s="8">
        <v>22.33</v>
      </c>
      <c r="L234" s="10" t="s">
        <v>17</v>
      </c>
    </row>
    <row r="235" spans="1:12" x14ac:dyDescent="0.3">
      <c r="A235" s="5" t="s">
        <v>524</v>
      </c>
      <c r="B235" s="6">
        <v>45628</v>
      </c>
      <c r="C235" s="7" t="s">
        <v>525</v>
      </c>
      <c r="D235" s="7" t="s">
        <v>26</v>
      </c>
      <c r="E235" s="7" t="s">
        <v>33</v>
      </c>
      <c r="F235" s="7" t="s">
        <v>16</v>
      </c>
      <c r="G235" s="7">
        <v>1</v>
      </c>
      <c r="H235" s="8">
        <v>23.97</v>
      </c>
      <c r="I235" s="9">
        <v>0</v>
      </c>
      <c r="J235" s="8">
        <v>23.97</v>
      </c>
      <c r="K235" s="8">
        <v>5.84</v>
      </c>
      <c r="L235" s="10" t="s">
        <v>17</v>
      </c>
    </row>
    <row r="236" spans="1:12" x14ac:dyDescent="0.3">
      <c r="A236" s="5" t="s">
        <v>526</v>
      </c>
      <c r="B236" s="6">
        <v>45803</v>
      </c>
      <c r="C236" s="7" t="s">
        <v>527</v>
      </c>
      <c r="D236" s="7" t="s">
        <v>20</v>
      </c>
      <c r="E236" s="7" t="s">
        <v>55</v>
      </c>
      <c r="F236" s="7" t="s">
        <v>16</v>
      </c>
      <c r="G236" s="7">
        <v>1</v>
      </c>
      <c r="H236" s="8">
        <v>89.84</v>
      </c>
      <c r="I236" s="9">
        <v>25</v>
      </c>
      <c r="J236" s="8">
        <v>67.38</v>
      </c>
      <c r="K236" s="8">
        <v>6.62</v>
      </c>
      <c r="L236" s="10" t="s">
        <v>17</v>
      </c>
    </row>
    <row r="237" spans="1:12" x14ac:dyDescent="0.3">
      <c r="A237" s="5" t="s">
        <v>528</v>
      </c>
      <c r="B237" s="6">
        <v>45653</v>
      </c>
      <c r="C237" s="7" t="s">
        <v>529</v>
      </c>
      <c r="D237" s="7" t="s">
        <v>20</v>
      </c>
      <c r="E237" s="7" t="s">
        <v>286</v>
      </c>
      <c r="F237" s="7" t="s">
        <v>39</v>
      </c>
      <c r="G237" s="7">
        <v>2</v>
      </c>
      <c r="H237" s="8">
        <v>26.23</v>
      </c>
      <c r="I237" s="9">
        <v>15</v>
      </c>
      <c r="J237" s="8">
        <v>44.59</v>
      </c>
      <c r="K237" s="8">
        <v>14.93</v>
      </c>
      <c r="L237" s="10" t="s">
        <v>23</v>
      </c>
    </row>
    <row r="238" spans="1:12" x14ac:dyDescent="0.3">
      <c r="A238" s="5" t="s">
        <v>530</v>
      </c>
      <c r="B238" s="6">
        <v>45417</v>
      </c>
      <c r="C238" s="7" t="s">
        <v>531</v>
      </c>
      <c r="D238" s="7" t="s">
        <v>14</v>
      </c>
      <c r="E238" s="7" t="s">
        <v>151</v>
      </c>
      <c r="F238" s="7" t="s">
        <v>39</v>
      </c>
      <c r="G238" s="7">
        <v>1</v>
      </c>
      <c r="H238" s="8">
        <v>26.19</v>
      </c>
      <c r="I238" s="9">
        <v>0</v>
      </c>
      <c r="J238" s="8">
        <v>26.19</v>
      </c>
      <c r="K238" s="8">
        <v>8.3699999999999992</v>
      </c>
      <c r="L238" s="10" t="s">
        <v>34</v>
      </c>
    </row>
    <row r="239" spans="1:12" x14ac:dyDescent="0.3">
      <c r="A239" s="5" t="s">
        <v>532</v>
      </c>
      <c r="B239" s="6">
        <v>45441</v>
      </c>
      <c r="C239" s="7" t="s">
        <v>533</v>
      </c>
      <c r="D239" s="7" t="s">
        <v>42</v>
      </c>
      <c r="E239" s="7" t="s">
        <v>154</v>
      </c>
      <c r="F239" s="7" t="s">
        <v>39</v>
      </c>
      <c r="G239" s="7">
        <v>1</v>
      </c>
      <c r="H239" s="8">
        <v>43.27</v>
      </c>
      <c r="I239" s="9">
        <v>10</v>
      </c>
      <c r="J239" s="8">
        <v>38.94</v>
      </c>
      <c r="K239" s="8">
        <v>12.67</v>
      </c>
      <c r="L239" s="10" t="s">
        <v>17</v>
      </c>
    </row>
    <row r="240" spans="1:12" x14ac:dyDescent="0.3">
      <c r="A240" s="5" t="s">
        <v>534</v>
      </c>
      <c r="B240" s="6">
        <v>45310</v>
      </c>
      <c r="C240" s="7" t="s">
        <v>535</v>
      </c>
      <c r="D240" s="7" t="s">
        <v>26</v>
      </c>
      <c r="E240" s="7" t="s">
        <v>91</v>
      </c>
      <c r="F240" s="7" t="s">
        <v>49</v>
      </c>
      <c r="G240" s="7">
        <v>2</v>
      </c>
      <c r="H240" s="8">
        <v>16.5</v>
      </c>
      <c r="I240" s="9">
        <v>20</v>
      </c>
      <c r="J240" s="8">
        <v>26.4</v>
      </c>
      <c r="K240" s="8">
        <v>8.3699999999999992</v>
      </c>
      <c r="L240" s="10" t="s">
        <v>17</v>
      </c>
    </row>
    <row r="241" spans="1:12" x14ac:dyDescent="0.3">
      <c r="A241" s="5" t="s">
        <v>536</v>
      </c>
      <c r="B241" s="6">
        <v>45931</v>
      </c>
      <c r="C241" s="7" t="s">
        <v>537</v>
      </c>
      <c r="D241" s="7" t="s">
        <v>26</v>
      </c>
      <c r="E241" s="7" t="s">
        <v>286</v>
      </c>
      <c r="F241" s="7" t="s">
        <v>39</v>
      </c>
      <c r="G241" s="7">
        <v>1</v>
      </c>
      <c r="H241" s="8">
        <v>15.82</v>
      </c>
      <c r="I241" s="9">
        <v>5</v>
      </c>
      <c r="J241" s="8">
        <v>15.03</v>
      </c>
      <c r="K241" s="8">
        <v>5.71</v>
      </c>
      <c r="L241" s="10" t="s">
        <v>17</v>
      </c>
    </row>
    <row r="242" spans="1:12" x14ac:dyDescent="0.3">
      <c r="A242" s="5" t="s">
        <v>538</v>
      </c>
      <c r="B242" s="6">
        <v>45450</v>
      </c>
      <c r="C242" s="7" t="s">
        <v>539</v>
      </c>
      <c r="D242" s="7" t="s">
        <v>37</v>
      </c>
      <c r="E242" s="7" t="s">
        <v>187</v>
      </c>
      <c r="F242" s="7" t="s">
        <v>75</v>
      </c>
      <c r="G242" s="7">
        <v>1</v>
      </c>
      <c r="H242" s="8">
        <v>53.1</v>
      </c>
      <c r="I242" s="9">
        <v>0</v>
      </c>
      <c r="J242" s="8">
        <v>53.1</v>
      </c>
      <c r="K242" s="8">
        <v>17.39</v>
      </c>
      <c r="L242" s="10" t="s">
        <v>17</v>
      </c>
    </row>
    <row r="243" spans="1:12" x14ac:dyDescent="0.3">
      <c r="A243" s="5" t="s">
        <v>540</v>
      </c>
      <c r="B243" s="6">
        <v>45783</v>
      </c>
      <c r="C243" s="7" t="s">
        <v>541</v>
      </c>
      <c r="D243" s="7" t="s">
        <v>42</v>
      </c>
      <c r="E243" s="7" t="s">
        <v>187</v>
      </c>
      <c r="F243" s="7" t="s">
        <v>75</v>
      </c>
      <c r="G243" s="7">
        <v>3</v>
      </c>
      <c r="H243" s="8">
        <v>22.37</v>
      </c>
      <c r="I243" s="9">
        <v>0</v>
      </c>
      <c r="J243" s="8">
        <v>67.11</v>
      </c>
      <c r="K243" s="8">
        <v>10.56</v>
      </c>
      <c r="L243" s="10" t="s">
        <v>34</v>
      </c>
    </row>
    <row r="244" spans="1:12" x14ac:dyDescent="0.3">
      <c r="A244" s="5" t="s">
        <v>542</v>
      </c>
      <c r="B244" s="6">
        <v>45699</v>
      </c>
      <c r="C244" s="7" t="s">
        <v>543</v>
      </c>
      <c r="D244" s="7" t="s">
        <v>42</v>
      </c>
      <c r="E244" s="7" t="s">
        <v>151</v>
      </c>
      <c r="F244" s="7" t="s">
        <v>39</v>
      </c>
      <c r="G244" s="7">
        <v>1</v>
      </c>
      <c r="H244" s="8">
        <v>21.18</v>
      </c>
      <c r="I244" s="9">
        <v>25</v>
      </c>
      <c r="J244" s="8">
        <v>15.89</v>
      </c>
      <c r="K244" s="8">
        <v>6.01</v>
      </c>
      <c r="L244" s="10" t="s">
        <v>23</v>
      </c>
    </row>
    <row r="245" spans="1:12" x14ac:dyDescent="0.3">
      <c r="A245" s="5" t="s">
        <v>544</v>
      </c>
      <c r="B245" s="6">
        <v>45981</v>
      </c>
      <c r="C245" s="7" t="s">
        <v>394</v>
      </c>
      <c r="D245" s="7" t="s">
        <v>14</v>
      </c>
      <c r="E245" s="7" t="s">
        <v>105</v>
      </c>
      <c r="F245" s="7" t="s">
        <v>39</v>
      </c>
      <c r="G245" s="7">
        <v>2</v>
      </c>
      <c r="H245" s="8">
        <v>28.47</v>
      </c>
      <c r="I245" s="9">
        <v>0</v>
      </c>
      <c r="J245" s="8">
        <v>56.94</v>
      </c>
      <c r="K245" s="8">
        <v>15.11</v>
      </c>
      <c r="L245" s="10" t="s">
        <v>17</v>
      </c>
    </row>
    <row r="246" spans="1:12" x14ac:dyDescent="0.3">
      <c r="A246" s="5" t="s">
        <v>545</v>
      </c>
      <c r="B246" s="6">
        <v>45432</v>
      </c>
      <c r="C246" s="7" t="s">
        <v>384</v>
      </c>
      <c r="D246" s="7" t="s">
        <v>37</v>
      </c>
      <c r="E246" s="7" t="s">
        <v>64</v>
      </c>
      <c r="F246" s="7" t="s">
        <v>16</v>
      </c>
      <c r="G246" s="7">
        <v>2</v>
      </c>
      <c r="H246" s="8">
        <v>24.86</v>
      </c>
      <c r="I246" s="9">
        <v>10</v>
      </c>
      <c r="J246" s="8">
        <v>44.75</v>
      </c>
      <c r="K246" s="8">
        <v>5.17</v>
      </c>
      <c r="L246" s="10" t="s">
        <v>17</v>
      </c>
    </row>
    <row r="247" spans="1:12" x14ac:dyDescent="0.3">
      <c r="A247" s="5" t="s">
        <v>546</v>
      </c>
      <c r="B247" s="6">
        <v>45361</v>
      </c>
      <c r="C247" s="7" t="s">
        <v>547</v>
      </c>
      <c r="D247" s="7" t="s">
        <v>20</v>
      </c>
      <c r="E247" s="7" t="s">
        <v>108</v>
      </c>
      <c r="F247" s="7" t="s">
        <v>75</v>
      </c>
      <c r="G247" s="7">
        <v>2</v>
      </c>
      <c r="H247" s="8">
        <v>37.020000000000003</v>
      </c>
      <c r="I247" s="9">
        <v>0</v>
      </c>
      <c r="J247" s="8">
        <v>74.040000000000006</v>
      </c>
      <c r="K247" s="8">
        <v>13.1</v>
      </c>
      <c r="L247" s="10" t="s">
        <v>17</v>
      </c>
    </row>
    <row r="248" spans="1:12" x14ac:dyDescent="0.3">
      <c r="A248" s="5" t="s">
        <v>548</v>
      </c>
      <c r="B248" s="6">
        <v>45962</v>
      </c>
      <c r="C248" s="7" t="s">
        <v>514</v>
      </c>
      <c r="D248" s="7" t="s">
        <v>14</v>
      </c>
      <c r="E248" s="7" t="s">
        <v>460</v>
      </c>
      <c r="F248" s="7" t="s">
        <v>75</v>
      </c>
      <c r="G248" s="7">
        <v>1</v>
      </c>
      <c r="H248" s="8">
        <v>22.9</v>
      </c>
      <c r="I248" s="9">
        <v>0</v>
      </c>
      <c r="J248" s="8">
        <v>22.9</v>
      </c>
      <c r="K248" s="8">
        <v>5.3</v>
      </c>
      <c r="L248" s="10" t="s">
        <v>23</v>
      </c>
    </row>
    <row r="249" spans="1:12" x14ac:dyDescent="0.3">
      <c r="A249" s="5" t="s">
        <v>549</v>
      </c>
      <c r="B249" s="6">
        <v>45968</v>
      </c>
      <c r="C249" s="7" t="s">
        <v>550</v>
      </c>
      <c r="D249" s="7" t="s">
        <v>42</v>
      </c>
      <c r="E249" s="7" t="s">
        <v>184</v>
      </c>
      <c r="F249" s="7" t="s">
        <v>49</v>
      </c>
      <c r="G249" s="7">
        <v>3</v>
      </c>
      <c r="H249" s="8">
        <v>37.869999999999997</v>
      </c>
      <c r="I249" s="9">
        <v>5</v>
      </c>
      <c r="J249" s="8">
        <v>107.93</v>
      </c>
      <c r="K249" s="8">
        <v>32.840000000000003</v>
      </c>
      <c r="L249" s="10" t="s">
        <v>17</v>
      </c>
    </row>
    <row r="250" spans="1:12" x14ac:dyDescent="0.3">
      <c r="A250" s="5" t="s">
        <v>551</v>
      </c>
      <c r="B250" s="6">
        <v>45395</v>
      </c>
      <c r="C250" s="7" t="s">
        <v>552</v>
      </c>
      <c r="D250" s="7" t="s">
        <v>14</v>
      </c>
      <c r="E250" s="7" t="s">
        <v>58</v>
      </c>
      <c r="F250" s="7" t="s">
        <v>49</v>
      </c>
      <c r="G250" s="7">
        <v>1</v>
      </c>
      <c r="H250" s="8">
        <v>26.13</v>
      </c>
      <c r="I250" s="9">
        <v>5</v>
      </c>
      <c r="J250" s="8">
        <v>24.82</v>
      </c>
      <c r="K250" s="8">
        <v>13.08</v>
      </c>
      <c r="L250" s="10" t="s">
        <v>17</v>
      </c>
    </row>
    <row r="251" spans="1:12" x14ac:dyDescent="0.3">
      <c r="A251" s="5" t="s">
        <v>553</v>
      </c>
      <c r="B251" s="6">
        <v>45345</v>
      </c>
      <c r="C251" s="7" t="s">
        <v>554</v>
      </c>
      <c r="D251" s="7" t="s">
        <v>14</v>
      </c>
      <c r="E251" s="7" t="s">
        <v>64</v>
      </c>
      <c r="F251" s="7" t="s">
        <v>16</v>
      </c>
      <c r="G251" s="7">
        <v>1</v>
      </c>
      <c r="H251" s="8">
        <v>67.12</v>
      </c>
      <c r="I251" s="9">
        <v>10</v>
      </c>
      <c r="J251" s="8">
        <v>60.41</v>
      </c>
      <c r="K251" s="8">
        <v>13.73</v>
      </c>
      <c r="L251" s="10" t="s">
        <v>23</v>
      </c>
    </row>
    <row r="252" spans="1:12" x14ac:dyDescent="0.3">
      <c r="A252" s="5" t="s">
        <v>555</v>
      </c>
      <c r="B252" s="6">
        <v>45777</v>
      </c>
      <c r="C252" s="7" t="s">
        <v>355</v>
      </c>
      <c r="D252" s="7" t="s">
        <v>26</v>
      </c>
      <c r="E252" s="7" t="s">
        <v>556</v>
      </c>
      <c r="F252" s="7" t="s">
        <v>49</v>
      </c>
      <c r="G252" s="7">
        <v>1</v>
      </c>
      <c r="H252" s="8">
        <v>76.27</v>
      </c>
      <c r="I252" s="9">
        <v>0</v>
      </c>
      <c r="J252" s="8">
        <v>76.27</v>
      </c>
      <c r="K252" s="8">
        <v>31.73</v>
      </c>
      <c r="L252" s="10" t="s">
        <v>23</v>
      </c>
    </row>
    <row r="253" spans="1:12" x14ac:dyDescent="0.3">
      <c r="A253" s="5" t="s">
        <v>557</v>
      </c>
      <c r="B253" s="6">
        <v>45435</v>
      </c>
      <c r="C253" s="7" t="s">
        <v>394</v>
      </c>
      <c r="D253" s="7" t="s">
        <v>42</v>
      </c>
      <c r="E253" s="7" t="s">
        <v>55</v>
      </c>
      <c r="F253" s="7" t="s">
        <v>16</v>
      </c>
      <c r="G253" s="7">
        <v>2</v>
      </c>
      <c r="H253" s="8">
        <v>95.25</v>
      </c>
      <c r="I253" s="9">
        <v>20</v>
      </c>
      <c r="J253" s="8">
        <v>152.4</v>
      </c>
      <c r="K253" s="8">
        <v>25.45</v>
      </c>
      <c r="L253" s="10" t="s">
        <v>23</v>
      </c>
    </row>
    <row r="254" spans="1:12" x14ac:dyDescent="0.3">
      <c r="A254" s="5" t="s">
        <v>558</v>
      </c>
      <c r="B254" s="6">
        <v>45987</v>
      </c>
      <c r="C254" s="7" t="s">
        <v>559</v>
      </c>
      <c r="D254" s="7" t="s">
        <v>26</v>
      </c>
      <c r="E254" s="7" t="s">
        <v>460</v>
      </c>
      <c r="F254" s="7" t="s">
        <v>75</v>
      </c>
      <c r="G254" s="7">
        <v>1</v>
      </c>
      <c r="H254" s="8">
        <v>26.49</v>
      </c>
      <c r="I254" s="9">
        <v>0</v>
      </c>
      <c r="J254" s="8">
        <v>26.49</v>
      </c>
      <c r="K254" s="8">
        <v>8.25</v>
      </c>
      <c r="L254" s="10" t="s">
        <v>17</v>
      </c>
    </row>
    <row r="255" spans="1:12" x14ac:dyDescent="0.3">
      <c r="A255" s="5" t="s">
        <v>560</v>
      </c>
      <c r="B255" s="6">
        <v>45445</v>
      </c>
      <c r="C255" s="7" t="s">
        <v>82</v>
      </c>
      <c r="D255" s="7" t="s">
        <v>37</v>
      </c>
      <c r="E255" s="7" t="s">
        <v>222</v>
      </c>
      <c r="F255" s="7" t="s">
        <v>22</v>
      </c>
      <c r="G255" s="7">
        <v>2</v>
      </c>
      <c r="H255" s="8">
        <v>43.55</v>
      </c>
      <c r="I255" s="9">
        <v>0</v>
      </c>
      <c r="J255" s="8">
        <v>87.1</v>
      </c>
      <c r="K255" s="8">
        <v>53.33</v>
      </c>
      <c r="L255" s="10" t="s">
        <v>23</v>
      </c>
    </row>
    <row r="256" spans="1:12" x14ac:dyDescent="0.3">
      <c r="A256" s="5" t="s">
        <v>561</v>
      </c>
      <c r="B256" s="6">
        <v>45454</v>
      </c>
      <c r="C256" s="7" t="s">
        <v>25</v>
      </c>
      <c r="D256" s="7" t="s">
        <v>42</v>
      </c>
      <c r="E256" s="7" t="s">
        <v>291</v>
      </c>
      <c r="F256" s="7" t="s">
        <v>22</v>
      </c>
      <c r="G256" s="7">
        <v>3</v>
      </c>
      <c r="H256" s="8">
        <v>34.11</v>
      </c>
      <c r="I256" s="9">
        <v>5</v>
      </c>
      <c r="J256" s="8">
        <v>97.21</v>
      </c>
      <c r="K256" s="8">
        <v>59.09</v>
      </c>
      <c r="L256" s="10" t="s">
        <v>17</v>
      </c>
    </row>
    <row r="257" spans="1:12" x14ac:dyDescent="0.3">
      <c r="A257" s="5" t="s">
        <v>562</v>
      </c>
      <c r="B257" s="6">
        <v>46013</v>
      </c>
      <c r="C257" s="7" t="s">
        <v>563</v>
      </c>
      <c r="D257" s="7" t="s">
        <v>42</v>
      </c>
      <c r="E257" s="7" t="s">
        <v>314</v>
      </c>
      <c r="F257" s="7" t="s">
        <v>16</v>
      </c>
      <c r="G257" s="7">
        <v>1</v>
      </c>
      <c r="H257" s="8">
        <v>141.1</v>
      </c>
      <c r="I257" s="9">
        <v>0</v>
      </c>
      <c r="J257" s="8">
        <v>141.1</v>
      </c>
      <c r="K257" s="8">
        <v>12.27</v>
      </c>
      <c r="L257" s="10" t="s">
        <v>34</v>
      </c>
    </row>
    <row r="258" spans="1:12" x14ac:dyDescent="0.3">
      <c r="A258" s="5" t="s">
        <v>564</v>
      </c>
      <c r="B258" s="6">
        <v>46013</v>
      </c>
      <c r="C258" s="7" t="s">
        <v>565</v>
      </c>
      <c r="D258" s="7" t="s">
        <v>37</v>
      </c>
      <c r="E258" s="7" t="s">
        <v>94</v>
      </c>
      <c r="F258" s="7" t="s">
        <v>75</v>
      </c>
      <c r="G258" s="7">
        <v>2</v>
      </c>
      <c r="H258" s="8">
        <v>57.46</v>
      </c>
      <c r="I258" s="9">
        <v>0</v>
      </c>
      <c r="J258" s="8">
        <v>114.92</v>
      </c>
      <c r="K258" s="8">
        <v>18.079999999999998</v>
      </c>
      <c r="L258" s="10" t="s">
        <v>23</v>
      </c>
    </row>
    <row r="259" spans="1:12" x14ac:dyDescent="0.3">
      <c r="A259" s="5" t="s">
        <v>566</v>
      </c>
      <c r="B259" s="6">
        <v>45956</v>
      </c>
      <c r="C259" s="7" t="s">
        <v>567</v>
      </c>
      <c r="D259" s="7" t="s">
        <v>26</v>
      </c>
      <c r="E259" s="7" t="s">
        <v>30</v>
      </c>
      <c r="F259" s="7" t="s">
        <v>16</v>
      </c>
      <c r="G259" s="7">
        <v>4</v>
      </c>
      <c r="H259" s="8">
        <v>136.4</v>
      </c>
      <c r="I259" s="9">
        <v>0</v>
      </c>
      <c r="J259" s="8">
        <v>545.6</v>
      </c>
      <c r="K259" s="8">
        <v>115.45</v>
      </c>
      <c r="L259" s="10" t="s">
        <v>23</v>
      </c>
    </row>
    <row r="260" spans="1:12" x14ac:dyDescent="0.3">
      <c r="A260" s="5" t="s">
        <v>568</v>
      </c>
      <c r="B260" s="6">
        <v>45556</v>
      </c>
      <c r="C260" s="7" t="s">
        <v>569</v>
      </c>
      <c r="D260" s="7" t="s">
        <v>42</v>
      </c>
      <c r="E260" s="7" t="s">
        <v>187</v>
      </c>
      <c r="F260" s="7" t="s">
        <v>75</v>
      </c>
      <c r="G260" s="7">
        <v>2</v>
      </c>
      <c r="H260" s="8">
        <v>21.08</v>
      </c>
      <c r="I260" s="9">
        <v>5</v>
      </c>
      <c r="J260" s="8">
        <v>40.049999999999997</v>
      </c>
      <c r="K260" s="8">
        <v>9.16</v>
      </c>
      <c r="L260" s="10" t="s">
        <v>23</v>
      </c>
    </row>
    <row r="261" spans="1:12" x14ac:dyDescent="0.3">
      <c r="A261" s="5" t="s">
        <v>570</v>
      </c>
      <c r="B261" s="6">
        <v>45717</v>
      </c>
      <c r="C261" s="7" t="s">
        <v>571</v>
      </c>
      <c r="D261" s="7" t="s">
        <v>26</v>
      </c>
      <c r="E261" s="7" t="s">
        <v>15</v>
      </c>
      <c r="F261" s="7" t="s">
        <v>16</v>
      </c>
      <c r="G261" s="7">
        <v>2</v>
      </c>
      <c r="H261" s="8">
        <v>52.07</v>
      </c>
      <c r="I261" s="9">
        <v>0</v>
      </c>
      <c r="J261" s="8">
        <v>104.14</v>
      </c>
      <c r="K261" s="8">
        <v>20.86</v>
      </c>
      <c r="L261" s="10" t="s">
        <v>17</v>
      </c>
    </row>
    <row r="262" spans="1:12" x14ac:dyDescent="0.3">
      <c r="A262" s="5" t="s">
        <v>572</v>
      </c>
      <c r="B262" s="6">
        <v>45818</v>
      </c>
      <c r="C262" s="7" t="s">
        <v>573</v>
      </c>
      <c r="D262" s="7" t="s">
        <v>20</v>
      </c>
      <c r="E262" s="7" t="s">
        <v>21</v>
      </c>
      <c r="F262" s="7" t="s">
        <v>22</v>
      </c>
      <c r="G262" s="7">
        <v>1</v>
      </c>
      <c r="H262" s="8">
        <v>42.76</v>
      </c>
      <c r="I262" s="9">
        <v>10</v>
      </c>
      <c r="J262" s="8">
        <v>38.479999999999997</v>
      </c>
      <c r="K262" s="8">
        <v>21.82</v>
      </c>
      <c r="L262" s="10" t="s">
        <v>34</v>
      </c>
    </row>
    <row r="263" spans="1:12" x14ac:dyDescent="0.3">
      <c r="A263" s="5" t="s">
        <v>574</v>
      </c>
      <c r="B263" s="6">
        <v>45669</v>
      </c>
      <c r="C263" s="7" t="s">
        <v>575</v>
      </c>
      <c r="D263" s="7" t="s">
        <v>26</v>
      </c>
      <c r="E263" s="7" t="s">
        <v>556</v>
      </c>
      <c r="F263" s="7" t="s">
        <v>49</v>
      </c>
      <c r="G263" s="7">
        <v>3</v>
      </c>
      <c r="H263" s="8">
        <v>70.55</v>
      </c>
      <c r="I263" s="9">
        <v>10</v>
      </c>
      <c r="J263" s="8">
        <v>190.49</v>
      </c>
      <c r="K263" s="8">
        <v>61.47</v>
      </c>
      <c r="L263" s="10" t="s">
        <v>17</v>
      </c>
    </row>
    <row r="264" spans="1:12" x14ac:dyDescent="0.3">
      <c r="A264" s="5" t="s">
        <v>576</v>
      </c>
      <c r="B264" s="6">
        <v>45313</v>
      </c>
      <c r="C264" s="7" t="s">
        <v>577</v>
      </c>
      <c r="D264" s="7" t="s">
        <v>42</v>
      </c>
      <c r="E264" s="7" t="s">
        <v>136</v>
      </c>
      <c r="F264" s="7" t="s">
        <v>75</v>
      </c>
      <c r="G264" s="7">
        <v>1</v>
      </c>
      <c r="H264" s="8">
        <v>39.25</v>
      </c>
      <c r="I264" s="9">
        <v>15</v>
      </c>
      <c r="J264" s="8">
        <v>33.36</v>
      </c>
      <c r="K264" s="8">
        <v>7.42</v>
      </c>
      <c r="L264" s="10" t="s">
        <v>17</v>
      </c>
    </row>
    <row r="265" spans="1:12" x14ac:dyDescent="0.3">
      <c r="A265" s="5" t="s">
        <v>578</v>
      </c>
      <c r="B265" s="6">
        <v>45496</v>
      </c>
      <c r="C265" s="7" t="s">
        <v>579</v>
      </c>
      <c r="D265" s="7" t="s">
        <v>14</v>
      </c>
      <c r="E265" s="7" t="s">
        <v>269</v>
      </c>
      <c r="F265" s="7" t="s">
        <v>75</v>
      </c>
      <c r="G265" s="7">
        <v>1</v>
      </c>
      <c r="H265" s="8">
        <v>57.89</v>
      </c>
      <c r="I265" s="9">
        <v>5</v>
      </c>
      <c r="J265" s="8">
        <v>55</v>
      </c>
      <c r="K265" s="8">
        <v>17.73</v>
      </c>
      <c r="L265" s="10" t="s">
        <v>17</v>
      </c>
    </row>
    <row r="266" spans="1:12" x14ac:dyDescent="0.3">
      <c r="A266" s="5" t="s">
        <v>580</v>
      </c>
      <c r="B266" s="6">
        <v>45846</v>
      </c>
      <c r="C266" s="7" t="s">
        <v>581</v>
      </c>
      <c r="D266" s="7" t="s">
        <v>26</v>
      </c>
      <c r="E266" s="7" t="s">
        <v>108</v>
      </c>
      <c r="F266" s="7" t="s">
        <v>75</v>
      </c>
      <c r="G266" s="7">
        <v>3</v>
      </c>
      <c r="H266" s="8">
        <v>12.48</v>
      </c>
      <c r="I266" s="9">
        <v>15</v>
      </c>
      <c r="J266" s="8">
        <v>31.82</v>
      </c>
      <c r="K266" s="8">
        <v>10.65</v>
      </c>
      <c r="L266" s="10" t="s">
        <v>23</v>
      </c>
    </row>
    <row r="267" spans="1:12" x14ac:dyDescent="0.3">
      <c r="A267" s="5" t="s">
        <v>582</v>
      </c>
      <c r="B267" s="6">
        <v>45686</v>
      </c>
      <c r="C267" s="7" t="s">
        <v>213</v>
      </c>
      <c r="D267" s="7" t="s">
        <v>20</v>
      </c>
      <c r="E267" s="7" t="s">
        <v>211</v>
      </c>
      <c r="F267" s="7" t="s">
        <v>39</v>
      </c>
      <c r="G267" s="7">
        <v>3</v>
      </c>
      <c r="H267" s="8">
        <v>65.400000000000006</v>
      </c>
      <c r="I267" s="9">
        <v>10</v>
      </c>
      <c r="J267" s="8">
        <v>176.58</v>
      </c>
      <c r="K267" s="8">
        <v>68.569999999999993</v>
      </c>
      <c r="L267" s="10" t="s">
        <v>17</v>
      </c>
    </row>
    <row r="268" spans="1:12" x14ac:dyDescent="0.3">
      <c r="A268" s="5" t="s">
        <v>583</v>
      </c>
      <c r="B268" s="6">
        <v>46015</v>
      </c>
      <c r="C268" s="7" t="s">
        <v>584</v>
      </c>
      <c r="D268" s="7" t="s">
        <v>42</v>
      </c>
      <c r="E268" s="7" t="s">
        <v>556</v>
      </c>
      <c r="F268" s="7" t="s">
        <v>49</v>
      </c>
      <c r="G268" s="7">
        <v>1</v>
      </c>
      <c r="H268" s="8">
        <v>15.46</v>
      </c>
      <c r="I268" s="9">
        <v>10</v>
      </c>
      <c r="J268" s="8">
        <v>13.91</v>
      </c>
      <c r="K268" s="8">
        <v>6.39</v>
      </c>
      <c r="L268" s="10" t="s">
        <v>17</v>
      </c>
    </row>
    <row r="269" spans="1:12" x14ac:dyDescent="0.3">
      <c r="A269" s="5" t="s">
        <v>585</v>
      </c>
      <c r="B269" s="6">
        <v>45329</v>
      </c>
      <c r="C269" s="7" t="s">
        <v>586</v>
      </c>
      <c r="D269" s="7" t="s">
        <v>20</v>
      </c>
      <c r="E269" s="7" t="s">
        <v>286</v>
      </c>
      <c r="F269" s="7" t="s">
        <v>39</v>
      </c>
      <c r="G269" s="7">
        <v>4</v>
      </c>
      <c r="H269" s="8">
        <v>26.02</v>
      </c>
      <c r="I269" s="9">
        <v>25</v>
      </c>
      <c r="J269" s="8">
        <v>78.06</v>
      </c>
      <c r="K269" s="8">
        <v>27.56</v>
      </c>
      <c r="L269" s="10" t="s">
        <v>17</v>
      </c>
    </row>
    <row r="270" spans="1:12" x14ac:dyDescent="0.3">
      <c r="A270" s="5" t="s">
        <v>587</v>
      </c>
      <c r="B270" s="6">
        <v>46008</v>
      </c>
      <c r="C270" s="7" t="s">
        <v>588</v>
      </c>
      <c r="D270" s="7" t="s">
        <v>20</v>
      </c>
      <c r="E270" s="7" t="s">
        <v>80</v>
      </c>
      <c r="F270" s="7" t="s">
        <v>16</v>
      </c>
      <c r="G270" s="7">
        <v>3</v>
      </c>
      <c r="H270" s="8">
        <v>149.78</v>
      </c>
      <c r="I270" s="9">
        <v>0</v>
      </c>
      <c r="J270" s="8">
        <v>449.34</v>
      </c>
      <c r="K270" s="8">
        <v>95.69</v>
      </c>
      <c r="L270" s="10" t="s">
        <v>17</v>
      </c>
    </row>
    <row r="271" spans="1:12" x14ac:dyDescent="0.3">
      <c r="A271" s="5" t="s">
        <v>589</v>
      </c>
      <c r="B271" s="6">
        <v>45409</v>
      </c>
      <c r="C271" s="7" t="s">
        <v>590</v>
      </c>
      <c r="D271" s="7" t="s">
        <v>26</v>
      </c>
      <c r="E271" s="7" t="s">
        <v>324</v>
      </c>
      <c r="F271" s="7" t="s">
        <v>16</v>
      </c>
      <c r="G271" s="7">
        <v>1</v>
      </c>
      <c r="H271" s="8">
        <v>126.86</v>
      </c>
      <c r="I271" s="9">
        <v>10</v>
      </c>
      <c r="J271" s="8">
        <v>114.17</v>
      </c>
      <c r="K271" s="8">
        <v>22.67</v>
      </c>
      <c r="L271" s="10" t="s">
        <v>17</v>
      </c>
    </row>
    <row r="272" spans="1:12" x14ac:dyDescent="0.3">
      <c r="A272" s="5" t="s">
        <v>591</v>
      </c>
      <c r="B272" s="6">
        <v>45762</v>
      </c>
      <c r="C272" s="7" t="s">
        <v>326</v>
      </c>
      <c r="D272" s="7" t="s">
        <v>14</v>
      </c>
      <c r="E272" s="7" t="s">
        <v>309</v>
      </c>
      <c r="F272" s="7" t="s">
        <v>75</v>
      </c>
      <c r="G272" s="7">
        <v>1</v>
      </c>
      <c r="H272" s="8">
        <v>37.97</v>
      </c>
      <c r="I272" s="9">
        <v>10</v>
      </c>
      <c r="J272" s="8">
        <v>34.17</v>
      </c>
      <c r="K272" s="8">
        <v>5.77</v>
      </c>
      <c r="L272" s="10" t="s">
        <v>34</v>
      </c>
    </row>
    <row r="273" spans="1:12" x14ac:dyDescent="0.3">
      <c r="A273" s="5" t="s">
        <v>592</v>
      </c>
      <c r="B273" s="6">
        <v>45460</v>
      </c>
      <c r="C273" s="7" t="s">
        <v>593</v>
      </c>
      <c r="D273" s="7" t="s">
        <v>26</v>
      </c>
      <c r="E273" s="7" t="s">
        <v>83</v>
      </c>
      <c r="F273" s="7" t="s">
        <v>22</v>
      </c>
      <c r="G273" s="7">
        <v>1</v>
      </c>
      <c r="H273" s="8">
        <v>45.34</v>
      </c>
      <c r="I273" s="9">
        <v>10</v>
      </c>
      <c r="J273" s="8">
        <v>40.81</v>
      </c>
      <c r="K273" s="8">
        <v>18.399999999999999</v>
      </c>
      <c r="L273" s="10" t="s">
        <v>17</v>
      </c>
    </row>
    <row r="274" spans="1:12" x14ac:dyDescent="0.3">
      <c r="A274" s="5" t="s">
        <v>594</v>
      </c>
      <c r="B274" s="6">
        <v>45319</v>
      </c>
      <c r="C274" s="7" t="s">
        <v>595</v>
      </c>
      <c r="D274" s="7" t="s">
        <v>20</v>
      </c>
      <c r="E274" s="7" t="s">
        <v>154</v>
      </c>
      <c r="F274" s="7" t="s">
        <v>39</v>
      </c>
      <c r="G274" s="7">
        <v>1</v>
      </c>
      <c r="H274" s="8">
        <v>65.650000000000006</v>
      </c>
      <c r="I274" s="9">
        <v>10</v>
      </c>
      <c r="J274" s="8">
        <v>59.09</v>
      </c>
      <c r="K274" s="8">
        <v>22.28</v>
      </c>
      <c r="L274" s="10" t="s">
        <v>23</v>
      </c>
    </row>
    <row r="275" spans="1:12" x14ac:dyDescent="0.3">
      <c r="A275" s="5" t="s">
        <v>596</v>
      </c>
      <c r="B275" s="6">
        <v>45396</v>
      </c>
      <c r="C275" s="7" t="s">
        <v>597</v>
      </c>
      <c r="D275" s="7" t="s">
        <v>20</v>
      </c>
      <c r="E275" s="7" t="s">
        <v>118</v>
      </c>
      <c r="F275" s="7" t="s">
        <v>49</v>
      </c>
      <c r="G275" s="7">
        <v>3</v>
      </c>
      <c r="H275" s="8">
        <v>60.2</v>
      </c>
      <c r="I275" s="9">
        <v>25</v>
      </c>
      <c r="J275" s="8">
        <v>135.44999999999999</v>
      </c>
      <c r="K275" s="8">
        <v>40.909999999999997</v>
      </c>
      <c r="L275" s="10" t="s">
        <v>34</v>
      </c>
    </row>
    <row r="276" spans="1:12" x14ac:dyDescent="0.3">
      <c r="A276" s="5" t="s">
        <v>598</v>
      </c>
      <c r="B276" s="6">
        <v>45364</v>
      </c>
      <c r="C276" s="7" t="s">
        <v>599</v>
      </c>
      <c r="D276" s="7" t="s">
        <v>14</v>
      </c>
      <c r="E276" s="7" t="s">
        <v>222</v>
      </c>
      <c r="F276" s="7" t="s">
        <v>22</v>
      </c>
      <c r="G276" s="7">
        <v>1</v>
      </c>
      <c r="H276" s="8">
        <v>28.67</v>
      </c>
      <c r="I276" s="9">
        <v>0</v>
      </c>
      <c r="J276" s="8">
        <v>28.67</v>
      </c>
      <c r="K276" s="8">
        <v>17.55</v>
      </c>
      <c r="L276" s="10" t="s">
        <v>23</v>
      </c>
    </row>
    <row r="277" spans="1:12" x14ac:dyDescent="0.3">
      <c r="A277" s="5" t="s">
        <v>600</v>
      </c>
      <c r="B277" s="6">
        <v>45619</v>
      </c>
      <c r="C277" s="7" t="s">
        <v>100</v>
      </c>
      <c r="D277" s="7" t="s">
        <v>26</v>
      </c>
      <c r="E277" s="7" t="s">
        <v>211</v>
      </c>
      <c r="F277" s="7" t="s">
        <v>39</v>
      </c>
      <c r="G277" s="7">
        <v>3</v>
      </c>
      <c r="H277" s="8">
        <v>51.26</v>
      </c>
      <c r="I277" s="9">
        <v>10</v>
      </c>
      <c r="J277" s="8">
        <v>138.4</v>
      </c>
      <c r="K277" s="8">
        <v>33.5</v>
      </c>
      <c r="L277" s="10" t="s">
        <v>23</v>
      </c>
    </row>
    <row r="278" spans="1:12" x14ac:dyDescent="0.3">
      <c r="A278" s="5" t="s">
        <v>601</v>
      </c>
      <c r="B278" s="6">
        <v>45558</v>
      </c>
      <c r="C278" s="7" t="s">
        <v>353</v>
      </c>
      <c r="D278" s="7" t="s">
        <v>20</v>
      </c>
      <c r="E278" s="7" t="s">
        <v>184</v>
      </c>
      <c r="F278" s="7" t="s">
        <v>49</v>
      </c>
      <c r="G278" s="7">
        <v>2</v>
      </c>
      <c r="H278" s="8">
        <v>68.489999999999995</v>
      </c>
      <c r="I278" s="9">
        <v>5</v>
      </c>
      <c r="J278" s="8">
        <v>130.13</v>
      </c>
      <c r="K278" s="8">
        <v>64.42</v>
      </c>
      <c r="L278" s="10" t="s">
        <v>17</v>
      </c>
    </row>
    <row r="279" spans="1:12" x14ac:dyDescent="0.3">
      <c r="A279" s="5" t="s">
        <v>602</v>
      </c>
      <c r="B279" s="6">
        <v>45677</v>
      </c>
      <c r="C279" s="7" t="s">
        <v>603</v>
      </c>
      <c r="D279" s="7" t="s">
        <v>37</v>
      </c>
      <c r="E279" s="7" t="s">
        <v>61</v>
      </c>
      <c r="F279" s="7" t="s">
        <v>39</v>
      </c>
      <c r="G279" s="7">
        <v>1</v>
      </c>
      <c r="H279" s="8">
        <v>52.33</v>
      </c>
      <c r="I279" s="9">
        <v>5</v>
      </c>
      <c r="J279" s="8">
        <v>49.71</v>
      </c>
      <c r="K279" s="8">
        <v>16.68</v>
      </c>
      <c r="L279" s="10" t="s">
        <v>23</v>
      </c>
    </row>
    <row r="280" spans="1:12" x14ac:dyDescent="0.3">
      <c r="A280" s="5" t="s">
        <v>604</v>
      </c>
      <c r="B280" s="6">
        <v>45708</v>
      </c>
      <c r="C280" s="7" t="s">
        <v>605</v>
      </c>
      <c r="D280" s="7" t="s">
        <v>26</v>
      </c>
      <c r="E280" s="7" t="s">
        <v>291</v>
      </c>
      <c r="F280" s="7" t="s">
        <v>22</v>
      </c>
      <c r="G280" s="7">
        <v>5</v>
      </c>
      <c r="H280" s="8">
        <v>21.68</v>
      </c>
      <c r="I280" s="9">
        <v>10</v>
      </c>
      <c r="J280" s="8">
        <v>97.56</v>
      </c>
      <c r="K280" s="8">
        <v>60.69</v>
      </c>
      <c r="L280" s="10" t="s">
        <v>17</v>
      </c>
    </row>
    <row r="281" spans="1:12" x14ac:dyDescent="0.3">
      <c r="A281" s="5" t="s">
        <v>606</v>
      </c>
      <c r="B281" s="6">
        <v>45584</v>
      </c>
      <c r="C281" s="7" t="s">
        <v>607</v>
      </c>
      <c r="D281" s="7" t="s">
        <v>14</v>
      </c>
      <c r="E281" s="7" t="s">
        <v>148</v>
      </c>
      <c r="F281" s="7" t="s">
        <v>16</v>
      </c>
      <c r="G281" s="7">
        <v>4</v>
      </c>
      <c r="H281" s="8">
        <v>60.24</v>
      </c>
      <c r="I281" s="9">
        <v>25</v>
      </c>
      <c r="J281" s="8">
        <v>180.72</v>
      </c>
      <c r="K281" s="8">
        <v>29.68</v>
      </c>
      <c r="L281" s="10" t="s">
        <v>23</v>
      </c>
    </row>
    <row r="282" spans="1:12" x14ac:dyDescent="0.3">
      <c r="A282" s="5" t="s">
        <v>608</v>
      </c>
      <c r="B282" s="6">
        <v>45402</v>
      </c>
      <c r="C282" s="7" t="s">
        <v>609</v>
      </c>
      <c r="D282" s="7" t="s">
        <v>20</v>
      </c>
      <c r="E282" s="7" t="s">
        <v>118</v>
      </c>
      <c r="F282" s="7" t="s">
        <v>49</v>
      </c>
      <c r="G282" s="7">
        <v>1</v>
      </c>
      <c r="H282" s="8">
        <v>75.39</v>
      </c>
      <c r="I282" s="9">
        <v>25</v>
      </c>
      <c r="J282" s="8">
        <v>56.54</v>
      </c>
      <c r="K282" s="8">
        <v>28.29</v>
      </c>
      <c r="L282" s="10" t="s">
        <v>17</v>
      </c>
    </row>
    <row r="283" spans="1:12" x14ac:dyDescent="0.3">
      <c r="A283" s="5" t="s">
        <v>610</v>
      </c>
      <c r="B283" s="6">
        <v>45791</v>
      </c>
      <c r="C283" s="7" t="s">
        <v>611</v>
      </c>
      <c r="D283" s="7" t="s">
        <v>37</v>
      </c>
      <c r="E283" s="7" t="s">
        <v>184</v>
      </c>
      <c r="F283" s="7" t="s">
        <v>49</v>
      </c>
      <c r="G283" s="7">
        <v>3</v>
      </c>
      <c r="H283" s="8">
        <v>33.76</v>
      </c>
      <c r="I283" s="9">
        <v>10</v>
      </c>
      <c r="J283" s="8">
        <v>91.15</v>
      </c>
      <c r="K283" s="8">
        <v>37.630000000000003</v>
      </c>
      <c r="L283" s="10" t="s">
        <v>17</v>
      </c>
    </row>
    <row r="284" spans="1:12" x14ac:dyDescent="0.3">
      <c r="A284" s="5" t="s">
        <v>612</v>
      </c>
      <c r="B284" s="6">
        <v>45882</v>
      </c>
      <c r="C284" s="7" t="s">
        <v>459</v>
      </c>
      <c r="D284" s="7" t="s">
        <v>42</v>
      </c>
      <c r="E284" s="7" t="s">
        <v>69</v>
      </c>
      <c r="F284" s="7" t="s">
        <v>39</v>
      </c>
      <c r="G284" s="7">
        <v>3</v>
      </c>
      <c r="H284" s="8">
        <v>37.69</v>
      </c>
      <c r="I284" s="9">
        <v>10</v>
      </c>
      <c r="J284" s="8">
        <v>101.76</v>
      </c>
      <c r="K284" s="8">
        <v>22.1</v>
      </c>
      <c r="L284" s="10" t="s">
        <v>17</v>
      </c>
    </row>
    <row r="285" spans="1:12" x14ac:dyDescent="0.3">
      <c r="A285" s="5" t="s">
        <v>613</v>
      </c>
      <c r="B285" s="6">
        <v>45994</v>
      </c>
      <c r="C285" s="7" t="s">
        <v>145</v>
      </c>
      <c r="D285" s="7" t="s">
        <v>26</v>
      </c>
      <c r="E285" s="7" t="s">
        <v>208</v>
      </c>
      <c r="F285" s="7" t="s">
        <v>22</v>
      </c>
      <c r="G285" s="7">
        <v>2</v>
      </c>
      <c r="H285" s="8">
        <v>28.44</v>
      </c>
      <c r="I285" s="9">
        <v>10</v>
      </c>
      <c r="J285" s="8">
        <v>51.19</v>
      </c>
      <c r="K285" s="8">
        <v>29.95</v>
      </c>
      <c r="L285" s="10" t="s">
        <v>17</v>
      </c>
    </row>
    <row r="286" spans="1:12" x14ac:dyDescent="0.3">
      <c r="A286" s="5" t="s">
        <v>614</v>
      </c>
      <c r="B286" s="6">
        <v>45916</v>
      </c>
      <c r="C286" s="7" t="s">
        <v>174</v>
      </c>
      <c r="D286" s="7" t="s">
        <v>37</v>
      </c>
      <c r="E286" s="7" t="s">
        <v>502</v>
      </c>
      <c r="F286" s="7" t="s">
        <v>22</v>
      </c>
      <c r="G286" s="7">
        <v>4</v>
      </c>
      <c r="H286" s="8">
        <v>42.39</v>
      </c>
      <c r="I286" s="9">
        <v>0</v>
      </c>
      <c r="J286" s="8">
        <v>169.56</v>
      </c>
      <c r="K286" s="8">
        <v>87.17</v>
      </c>
      <c r="L286" s="10" t="s">
        <v>17</v>
      </c>
    </row>
    <row r="287" spans="1:12" x14ac:dyDescent="0.3">
      <c r="A287" s="5" t="s">
        <v>615</v>
      </c>
      <c r="B287" s="6">
        <v>45343</v>
      </c>
      <c r="C287" s="7" t="s">
        <v>616</v>
      </c>
      <c r="D287" s="7" t="s">
        <v>42</v>
      </c>
      <c r="E287" s="7" t="s">
        <v>83</v>
      </c>
      <c r="F287" s="7" t="s">
        <v>22</v>
      </c>
      <c r="G287" s="7">
        <v>2</v>
      </c>
      <c r="H287" s="8">
        <v>42.69</v>
      </c>
      <c r="I287" s="9">
        <v>0</v>
      </c>
      <c r="J287" s="8">
        <v>85.38</v>
      </c>
      <c r="K287" s="8">
        <v>49.75</v>
      </c>
      <c r="L287" s="10" t="s">
        <v>23</v>
      </c>
    </row>
    <row r="288" spans="1:12" x14ac:dyDescent="0.3">
      <c r="A288" s="5" t="s">
        <v>617</v>
      </c>
      <c r="B288" s="6">
        <v>45707</v>
      </c>
      <c r="C288" s="7" t="s">
        <v>618</v>
      </c>
      <c r="D288" s="7" t="s">
        <v>26</v>
      </c>
      <c r="E288" s="7" t="s">
        <v>105</v>
      </c>
      <c r="F288" s="7" t="s">
        <v>39</v>
      </c>
      <c r="G288" s="7">
        <v>2</v>
      </c>
      <c r="H288" s="8">
        <v>17.55</v>
      </c>
      <c r="I288" s="9">
        <v>20</v>
      </c>
      <c r="J288" s="8">
        <v>28.08</v>
      </c>
      <c r="K288" s="8">
        <v>10.64</v>
      </c>
      <c r="L288" s="10" t="s">
        <v>17</v>
      </c>
    </row>
    <row r="289" spans="1:12" x14ac:dyDescent="0.3">
      <c r="A289" s="5" t="s">
        <v>619</v>
      </c>
      <c r="B289" s="6">
        <v>45586</v>
      </c>
      <c r="C289" s="7" t="s">
        <v>298</v>
      </c>
      <c r="D289" s="7" t="s">
        <v>26</v>
      </c>
      <c r="E289" s="7" t="s">
        <v>83</v>
      </c>
      <c r="F289" s="7" t="s">
        <v>22</v>
      </c>
      <c r="G289" s="7">
        <v>1</v>
      </c>
      <c r="H289" s="8">
        <v>49.62</v>
      </c>
      <c r="I289" s="9">
        <v>5</v>
      </c>
      <c r="J289" s="8">
        <v>47.14</v>
      </c>
      <c r="K289" s="8">
        <v>24.85</v>
      </c>
      <c r="L289" s="10" t="s">
        <v>17</v>
      </c>
    </row>
    <row r="290" spans="1:12" x14ac:dyDescent="0.3">
      <c r="A290" s="5" t="s">
        <v>620</v>
      </c>
      <c r="B290" s="6">
        <v>45460</v>
      </c>
      <c r="C290" s="7" t="s">
        <v>621</v>
      </c>
      <c r="D290" s="7" t="s">
        <v>42</v>
      </c>
      <c r="E290" s="7" t="s">
        <v>108</v>
      </c>
      <c r="F290" s="7" t="s">
        <v>75</v>
      </c>
      <c r="G290" s="7">
        <v>3</v>
      </c>
      <c r="H290" s="8">
        <v>59.38</v>
      </c>
      <c r="I290" s="9">
        <v>20</v>
      </c>
      <c r="J290" s="8">
        <v>142.51</v>
      </c>
      <c r="K290" s="8">
        <v>43.79</v>
      </c>
      <c r="L290" s="10" t="s">
        <v>34</v>
      </c>
    </row>
    <row r="291" spans="1:12" x14ac:dyDescent="0.3">
      <c r="A291" s="5" t="s">
        <v>622</v>
      </c>
      <c r="B291" s="6">
        <v>45626</v>
      </c>
      <c r="C291" s="7" t="s">
        <v>623</v>
      </c>
      <c r="D291" s="7" t="s">
        <v>37</v>
      </c>
      <c r="E291" s="7" t="s">
        <v>141</v>
      </c>
      <c r="F291" s="7" t="s">
        <v>16</v>
      </c>
      <c r="G291" s="7">
        <v>1</v>
      </c>
      <c r="H291" s="8">
        <v>51.95</v>
      </c>
      <c r="I291" s="9">
        <v>5</v>
      </c>
      <c r="J291" s="8">
        <v>49.35</v>
      </c>
      <c r="K291" s="8">
        <v>9.4499999999999993</v>
      </c>
      <c r="L291" s="10" t="s">
        <v>34</v>
      </c>
    </row>
    <row r="292" spans="1:12" x14ac:dyDescent="0.3">
      <c r="A292" s="5" t="s">
        <v>624</v>
      </c>
      <c r="B292" s="6">
        <v>45327</v>
      </c>
      <c r="C292" s="7" t="s">
        <v>334</v>
      </c>
      <c r="D292" s="7" t="s">
        <v>26</v>
      </c>
      <c r="E292" s="7" t="s">
        <v>141</v>
      </c>
      <c r="F292" s="7" t="s">
        <v>16</v>
      </c>
      <c r="G292" s="7">
        <v>1</v>
      </c>
      <c r="H292" s="8">
        <v>32.4</v>
      </c>
      <c r="I292" s="9">
        <v>0</v>
      </c>
      <c r="J292" s="8">
        <v>32.4</v>
      </c>
      <c r="K292" s="8">
        <v>4.82</v>
      </c>
      <c r="L292" s="10" t="s">
        <v>23</v>
      </c>
    </row>
    <row r="293" spans="1:12" x14ac:dyDescent="0.3">
      <c r="A293" s="5" t="s">
        <v>625</v>
      </c>
      <c r="B293" s="6">
        <v>45598</v>
      </c>
      <c r="C293" s="7" t="s">
        <v>626</v>
      </c>
      <c r="D293" s="7" t="s">
        <v>14</v>
      </c>
      <c r="E293" s="7" t="s">
        <v>232</v>
      </c>
      <c r="F293" s="7" t="s">
        <v>22</v>
      </c>
      <c r="G293" s="7">
        <v>1</v>
      </c>
      <c r="H293" s="8">
        <v>49.17</v>
      </c>
      <c r="I293" s="9">
        <v>5</v>
      </c>
      <c r="J293" s="8">
        <v>46.71</v>
      </c>
      <c r="K293" s="8">
        <v>22.67</v>
      </c>
      <c r="L293" s="10" t="s">
        <v>17</v>
      </c>
    </row>
    <row r="294" spans="1:12" x14ac:dyDescent="0.3">
      <c r="A294" s="5" t="s">
        <v>627</v>
      </c>
      <c r="B294" s="6">
        <v>45635</v>
      </c>
      <c r="C294" s="7" t="s">
        <v>571</v>
      </c>
      <c r="D294" s="7" t="s">
        <v>20</v>
      </c>
      <c r="E294" s="7" t="s">
        <v>94</v>
      </c>
      <c r="F294" s="7" t="s">
        <v>75</v>
      </c>
      <c r="G294" s="7">
        <v>2</v>
      </c>
      <c r="H294" s="8">
        <v>13.83</v>
      </c>
      <c r="I294" s="9">
        <v>5</v>
      </c>
      <c r="J294" s="8">
        <v>26.28</v>
      </c>
      <c r="K294" s="8">
        <v>5.3</v>
      </c>
      <c r="L294" s="10" t="s">
        <v>17</v>
      </c>
    </row>
    <row r="295" spans="1:12" x14ac:dyDescent="0.3">
      <c r="A295" s="5" t="s">
        <v>628</v>
      </c>
      <c r="B295" s="6">
        <v>45709</v>
      </c>
      <c r="C295" s="7" t="s">
        <v>629</v>
      </c>
      <c r="D295" s="7" t="s">
        <v>37</v>
      </c>
      <c r="E295" s="7" t="s">
        <v>48</v>
      </c>
      <c r="F295" s="7" t="s">
        <v>49</v>
      </c>
      <c r="G295" s="7">
        <v>5</v>
      </c>
      <c r="H295" s="8">
        <v>32.21</v>
      </c>
      <c r="I295" s="9">
        <v>20</v>
      </c>
      <c r="J295" s="8">
        <v>128.84</v>
      </c>
      <c r="K295" s="8">
        <v>43.69</v>
      </c>
      <c r="L295" s="10" t="s">
        <v>17</v>
      </c>
    </row>
    <row r="296" spans="1:12" x14ac:dyDescent="0.3">
      <c r="A296" s="5" t="s">
        <v>630</v>
      </c>
      <c r="B296" s="6">
        <v>45928</v>
      </c>
      <c r="C296" s="7" t="s">
        <v>631</v>
      </c>
      <c r="D296" s="7" t="s">
        <v>37</v>
      </c>
      <c r="E296" s="7" t="s">
        <v>21</v>
      </c>
      <c r="F296" s="7" t="s">
        <v>22</v>
      </c>
      <c r="G296" s="7">
        <v>3</v>
      </c>
      <c r="H296" s="8">
        <v>22.73</v>
      </c>
      <c r="I296" s="9">
        <v>10</v>
      </c>
      <c r="J296" s="8">
        <v>61.37</v>
      </c>
      <c r="K296" s="8">
        <v>38.950000000000003</v>
      </c>
      <c r="L296" s="10" t="s">
        <v>17</v>
      </c>
    </row>
    <row r="297" spans="1:12" x14ac:dyDescent="0.3">
      <c r="A297" s="5" t="s">
        <v>632</v>
      </c>
      <c r="B297" s="6">
        <v>45830</v>
      </c>
      <c r="C297" s="7" t="s">
        <v>633</v>
      </c>
      <c r="D297" s="7" t="s">
        <v>37</v>
      </c>
      <c r="E297" s="7" t="s">
        <v>83</v>
      </c>
      <c r="F297" s="7" t="s">
        <v>22</v>
      </c>
      <c r="G297" s="7">
        <v>2</v>
      </c>
      <c r="H297" s="8">
        <v>36.299999999999997</v>
      </c>
      <c r="I297" s="9">
        <v>0</v>
      </c>
      <c r="J297" s="8">
        <v>72.599999999999994</v>
      </c>
      <c r="K297" s="8">
        <v>29.48</v>
      </c>
      <c r="L297" s="10" t="s">
        <v>17</v>
      </c>
    </row>
    <row r="298" spans="1:12" x14ac:dyDescent="0.3">
      <c r="A298" s="5" t="s">
        <v>634</v>
      </c>
      <c r="B298" s="6">
        <v>45534</v>
      </c>
      <c r="C298" s="7" t="s">
        <v>635</v>
      </c>
      <c r="D298" s="7" t="s">
        <v>20</v>
      </c>
      <c r="E298" s="7" t="s">
        <v>88</v>
      </c>
      <c r="F298" s="7" t="s">
        <v>22</v>
      </c>
      <c r="G298" s="7">
        <v>2</v>
      </c>
      <c r="H298" s="8">
        <v>7.73</v>
      </c>
      <c r="I298" s="9">
        <v>15</v>
      </c>
      <c r="J298" s="8">
        <v>13.14</v>
      </c>
      <c r="K298" s="8">
        <v>8.08</v>
      </c>
      <c r="L298" s="10" t="s">
        <v>23</v>
      </c>
    </row>
    <row r="299" spans="1:12" x14ac:dyDescent="0.3">
      <c r="A299" s="5" t="s">
        <v>636</v>
      </c>
      <c r="B299" s="6">
        <v>45747</v>
      </c>
      <c r="C299" s="7" t="s">
        <v>637</v>
      </c>
      <c r="D299" s="7" t="s">
        <v>42</v>
      </c>
      <c r="E299" s="7" t="s">
        <v>187</v>
      </c>
      <c r="F299" s="7" t="s">
        <v>75</v>
      </c>
      <c r="G299" s="7">
        <v>2</v>
      </c>
      <c r="H299" s="8">
        <v>27.55</v>
      </c>
      <c r="I299" s="9">
        <v>10</v>
      </c>
      <c r="J299" s="8">
        <v>49.59</v>
      </c>
      <c r="K299" s="8">
        <v>9.7799999999999994</v>
      </c>
      <c r="L299" s="10" t="s">
        <v>23</v>
      </c>
    </row>
    <row r="300" spans="1:12" x14ac:dyDescent="0.3">
      <c r="A300" s="5" t="s">
        <v>638</v>
      </c>
      <c r="B300" s="6">
        <v>45838</v>
      </c>
      <c r="C300" s="7" t="s">
        <v>639</v>
      </c>
      <c r="D300" s="7" t="s">
        <v>42</v>
      </c>
      <c r="E300" s="7" t="s">
        <v>118</v>
      </c>
      <c r="F300" s="7" t="s">
        <v>49</v>
      </c>
      <c r="G300" s="7">
        <v>3</v>
      </c>
      <c r="H300" s="8">
        <v>89.82</v>
      </c>
      <c r="I300" s="9">
        <v>10</v>
      </c>
      <c r="J300" s="8">
        <v>242.51</v>
      </c>
      <c r="K300" s="8">
        <v>99.73</v>
      </c>
      <c r="L300" s="10" t="s">
        <v>17</v>
      </c>
    </row>
    <row r="301" spans="1:12" x14ac:dyDescent="0.3">
      <c r="A301" s="5" t="s">
        <v>640</v>
      </c>
      <c r="B301" s="6">
        <v>46013</v>
      </c>
      <c r="C301" s="7" t="s">
        <v>590</v>
      </c>
      <c r="D301" s="7" t="s">
        <v>14</v>
      </c>
      <c r="E301" s="7" t="s">
        <v>105</v>
      </c>
      <c r="F301" s="7" t="s">
        <v>39</v>
      </c>
      <c r="G301" s="7">
        <v>1</v>
      </c>
      <c r="H301" s="8">
        <v>29.1</v>
      </c>
      <c r="I301" s="9">
        <v>0</v>
      </c>
      <c r="J301" s="8">
        <v>29.1</v>
      </c>
      <c r="K301" s="8">
        <v>8.32</v>
      </c>
      <c r="L301" s="10" t="s">
        <v>17</v>
      </c>
    </row>
    <row r="302" spans="1:12" x14ac:dyDescent="0.3">
      <c r="A302" s="5" t="s">
        <v>641</v>
      </c>
      <c r="B302" s="6">
        <v>45730</v>
      </c>
      <c r="C302" s="7" t="s">
        <v>642</v>
      </c>
      <c r="D302" s="7" t="s">
        <v>42</v>
      </c>
      <c r="E302" s="7" t="s">
        <v>136</v>
      </c>
      <c r="F302" s="7" t="s">
        <v>75</v>
      </c>
      <c r="G302" s="7">
        <v>1</v>
      </c>
      <c r="H302" s="8">
        <v>31.45</v>
      </c>
      <c r="I302" s="9">
        <v>0</v>
      </c>
      <c r="J302" s="8">
        <v>31.45</v>
      </c>
      <c r="K302" s="8">
        <v>7.69</v>
      </c>
      <c r="L302" s="10" t="s">
        <v>17</v>
      </c>
    </row>
    <row r="303" spans="1:12" x14ac:dyDescent="0.3">
      <c r="A303" s="5" t="s">
        <v>643</v>
      </c>
      <c r="B303" s="6">
        <v>45378</v>
      </c>
      <c r="C303" s="7" t="s">
        <v>469</v>
      </c>
      <c r="D303" s="7" t="s">
        <v>14</v>
      </c>
      <c r="E303" s="7" t="s">
        <v>55</v>
      </c>
      <c r="F303" s="7" t="s">
        <v>16</v>
      </c>
      <c r="G303" s="7">
        <v>1</v>
      </c>
      <c r="H303" s="8">
        <v>32.61</v>
      </c>
      <c r="I303" s="9">
        <v>0</v>
      </c>
      <c r="J303" s="8">
        <v>32.61</v>
      </c>
      <c r="K303" s="8">
        <v>2.87</v>
      </c>
      <c r="L303" s="10" t="s">
        <v>17</v>
      </c>
    </row>
    <row r="304" spans="1:12" x14ac:dyDescent="0.3">
      <c r="A304" s="5" t="s">
        <v>644</v>
      </c>
      <c r="B304" s="6">
        <v>45395</v>
      </c>
      <c r="C304" s="7" t="s">
        <v>645</v>
      </c>
      <c r="D304" s="7" t="s">
        <v>26</v>
      </c>
      <c r="E304" s="7" t="s">
        <v>556</v>
      </c>
      <c r="F304" s="7" t="s">
        <v>49</v>
      </c>
      <c r="G304" s="7">
        <v>1</v>
      </c>
      <c r="H304" s="8">
        <v>80.02</v>
      </c>
      <c r="I304" s="9">
        <v>0</v>
      </c>
      <c r="J304" s="8">
        <v>80.02</v>
      </c>
      <c r="K304" s="8">
        <v>37.630000000000003</v>
      </c>
      <c r="L304" s="10" t="s">
        <v>23</v>
      </c>
    </row>
    <row r="305" spans="1:12" x14ac:dyDescent="0.3">
      <c r="A305" s="5" t="s">
        <v>646</v>
      </c>
      <c r="B305" s="6">
        <v>45600</v>
      </c>
      <c r="C305" s="7" t="s">
        <v>647</v>
      </c>
      <c r="D305" s="7" t="s">
        <v>26</v>
      </c>
      <c r="E305" s="7" t="s">
        <v>187</v>
      </c>
      <c r="F305" s="7" t="s">
        <v>75</v>
      </c>
      <c r="G305" s="7">
        <v>3</v>
      </c>
      <c r="H305" s="8">
        <v>23.15</v>
      </c>
      <c r="I305" s="9">
        <v>20</v>
      </c>
      <c r="J305" s="8">
        <v>55.56</v>
      </c>
      <c r="K305" s="8">
        <v>10.63</v>
      </c>
      <c r="L305" s="10" t="s">
        <v>17</v>
      </c>
    </row>
    <row r="306" spans="1:12" x14ac:dyDescent="0.3">
      <c r="A306" s="5" t="s">
        <v>648</v>
      </c>
      <c r="B306" s="6">
        <v>45967</v>
      </c>
      <c r="C306" s="7" t="s">
        <v>649</v>
      </c>
      <c r="D306" s="7" t="s">
        <v>14</v>
      </c>
      <c r="E306" s="7" t="s">
        <v>111</v>
      </c>
      <c r="F306" s="7" t="s">
        <v>49</v>
      </c>
      <c r="G306" s="7">
        <v>1</v>
      </c>
      <c r="H306" s="8">
        <v>26.24</v>
      </c>
      <c r="I306" s="9">
        <v>10</v>
      </c>
      <c r="J306" s="8">
        <v>23.62</v>
      </c>
      <c r="K306" s="8">
        <v>11.05</v>
      </c>
      <c r="L306" s="10" t="s">
        <v>23</v>
      </c>
    </row>
    <row r="307" spans="1:12" x14ac:dyDescent="0.3">
      <c r="A307" s="5" t="s">
        <v>650</v>
      </c>
      <c r="B307" s="6">
        <v>45712</v>
      </c>
      <c r="C307" s="7" t="s">
        <v>651</v>
      </c>
      <c r="D307" s="7" t="s">
        <v>14</v>
      </c>
      <c r="E307" s="7" t="s">
        <v>80</v>
      </c>
      <c r="F307" s="7" t="s">
        <v>16</v>
      </c>
      <c r="G307" s="7">
        <v>2</v>
      </c>
      <c r="H307" s="8">
        <v>38.1</v>
      </c>
      <c r="I307" s="9">
        <v>10</v>
      </c>
      <c r="J307" s="8">
        <v>68.58</v>
      </c>
      <c r="K307" s="8">
        <v>14.14</v>
      </c>
      <c r="L307" s="10" t="s">
        <v>34</v>
      </c>
    </row>
    <row r="308" spans="1:12" x14ac:dyDescent="0.3">
      <c r="A308" s="5" t="s">
        <v>652</v>
      </c>
      <c r="B308" s="6">
        <v>45444</v>
      </c>
      <c r="C308" s="7" t="s">
        <v>653</v>
      </c>
      <c r="D308" s="7" t="s">
        <v>37</v>
      </c>
      <c r="E308" s="7" t="s">
        <v>154</v>
      </c>
      <c r="F308" s="7" t="s">
        <v>39</v>
      </c>
      <c r="G308" s="7">
        <v>1</v>
      </c>
      <c r="H308" s="8">
        <v>65.95</v>
      </c>
      <c r="I308" s="9">
        <v>10</v>
      </c>
      <c r="J308" s="8">
        <v>59.36</v>
      </c>
      <c r="K308" s="8">
        <v>20.11</v>
      </c>
      <c r="L308" s="10" t="s">
        <v>17</v>
      </c>
    </row>
    <row r="309" spans="1:12" x14ac:dyDescent="0.3">
      <c r="A309" s="5" t="s">
        <v>654</v>
      </c>
      <c r="B309" s="6">
        <v>45903</v>
      </c>
      <c r="C309" s="7" t="s">
        <v>655</v>
      </c>
      <c r="D309" s="7" t="s">
        <v>20</v>
      </c>
      <c r="E309" s="7" t="s">
        <v>133</v>
      </c>
      <c r="F309" s="7" t="s">
        <v>75</v>
      </c>
      <c r="G309" s="7">
        <v>1</v>
      </c>
      <c r="H309" s="8">
        <v>37.1</v>
      </c>
      <c r="I309" s="9">
        <v>15</v>
      </c>
      <c r="J309" s="8">
        <v>31.54</v>
      </c>
      <c r="K309" s="8">
        <v>10.46</v>
      </c>
      <c r="L309" s="10" t="s">
        <v>34</v>
      </c>
    </row>
    <row r="310" spans="1:12" x14ac:dyDescent="0.3">
      <c r="A310" s="5" t="s">
        <v>656</v>
      </c>
      <c r="B310" s="6">
        <v>45818</v>
      </c>
      <c r="C310" s="7" t="s">
        <v>275</v>
      </c>
      <c r="D310" s="7" t="s">
        <v>42</v>
      </c>
      <c r="E310" s="7" t="s">
        <v>211</v>
      </c>
      <c r="F310" s="7" t="s">
        <v>39</v>
      </c>
      <c r="G310" s="7">
        <v>1</v>
      </c>
      <c r="H310" s="8">
        <v>65.209999999999994</v>
      </c>
      <c r="I310" s="9">
        <v>20</v>
      </c>
      <c r="J310" s="8">
        <v>52.17</v>
      </c>
      <c r="K310" s="8">
        <v>13.2</v>
      </c>
      <c r="L310" s="10" t="s">
        <v>17</v>
      </c>
    </row>
    <row r="311" spans="1:12" x14ac:dyDescent="0.3">
      <c r="A311" s="5" t="s">
        <v>657</v>
      </c>
      <c r="B311" s="6">
        <v>45982</v>
      </c>
      <c r="C311" s="7" t="s">
        <v>658</v>
      </c>
      <c r="D311" s="7" t="s">
        <v>20</v>
      </c>
      <c r="E311" s="7" t="s">
        <v>177</v>
      </c>
      <c r="F311" s="7" t="s">
        <v>49</v>
      </c>
      <c r="G311" s="7">
        <v>1</v>
      </c>
      <c r="H311" s="8">
        <v>64.7</v>
      </c>
      <c r="I311" s="9">
        <v>5</v>
      </c>
      <c r="J311" s="8">
        <v>61.47</v>
      </c>
      <c r="K311" s="8">
        <v>33.049999999999997</v>
      </c>
      <c r="L311" s="10" t="s">
        <v>23</v>
      </c>
    </row>
    <row r="312" spans="1:12" x14ac:dyDescent="0.3">
      <c r="A312" s="5" t="s">
        <v>659</v>
      </c>
      <c r="B312" s="6">
        <v>45298</v>
      </c>
      <c r="C312" s="7" t="s">
        <v>660</v>
      </c>
      <c r="D312" s="7" t="s">
        <v>37</v>
      </c>
      <c r="E312" s="7" t="s">
        <v>177</v>
      </c>
      <c r="F312" s="7" t="s">
        <v>49</v>
      </c>
      <c r="G312" s="7">
        <v>1</v>
      </c>
      <c r="H312" s="8">
        <v>67.23</v>
      </c>
      <c r="I312" s="9">
        <v>0</v>
      </c>
      <c r="J312" s="8">
        <v>67.23</v>
      </c>
      <c r="K312" s="8">
        <v>23.45</v>
      </c>
      <c r="L312" s="10" t="s">
        <v>34</v>
      </c>
    </row>
    <row r="313" spans="1:12" x14ac:dyDescent="0.3">
      <c r="A313" s="5" t="s">
        <v>661</v>
      </c>
      <c r="B313" s="6">
        <v>45699</v>
      </c>
      <c r="C313" s="7" t="s">
        <v>662</v>
      </c>
      <c r="D313" s="7" t="s">
        <v>20</v>
      </c>
      <c r="E313" s="7" t="s">
        <v>154</v>
      </c>
      <c r="F313" s="7" t="s">
        <v>39</v>
      </c>
      <c r="G313" s="7">
        <v>1</v>
      </c>
      <c r="H313" s="8">
        <v>55.6</v>
      </c>
      <c r="I313" s="9">
        <v>0</v>
      </c>
      <c r="J313" s="8">
        <v>55.6</v>
      </c>
      <c r="K313" s="8">
        <v>22.2</v>
      </c>
      <c r="L313" s="10" t="s">
        <v>17</v>
      </c>
    </row>
    <row r="314" spans="1:12" x14ac:dyDescent="0.3">
      <c r="A314" s="5" t="s">
        <v>663</v>
      </c>
      <c r="B314" s="6">
        <v>45370</v>
      </c>
      <c r="C314" s="7" t="s">
        <v>664</v>
      </c>
      <c r="D314" s="7" t="s">
        <v>37</v>
      </c>
      <c r="E314" s="7" t="s">
        <v>105</v>
      </c>
      <c r="F314" s="7" t="s">
        <v>39</v>
      </c>
      <c r="G314" s="7">
        <v>3</v>
      </c>
      <c r="H314" s="8">
        <v>53.4</v>
      </c>
      <c r="I314" s="9">
        <v>25</v>
      </c>
      <c r="J314" s="8">
        <v>120.15</v>
      </c>
      <c r="K314" s="8">
        <v>24.92</v>
      </c>
      <c r="L314" s="10" t="s">
        <v>17</v>
      </c>
    </row>
    <row r="315" spans="1:12" x14ac:dyDescent="0.3">
      <c r="A315" s="5" t="s">
        <v>665</v>
      </c>
      <c r="B315" s="6">
        <v>45560</v>
      </c>
      <c r="C315" s="7" t="s">
        <v>666</v>
      </c>
      <c r="D315" s="7" t="s">
        <v>26</v>
      </c>
      <c r="E315" s="7" t="s">
        <v>184</v>
      </c>
      <c r="F315" s="7" t="s">
        <v>49</v>
      </c>
      <c r="G315" s="7">
        <v>3</v>
      </c>
      <c r="H315" s="8">
        <v>52.53</v>
      </c>
      <c r="I315" s="9">
        <v>0</v>
      </c>
      <c r="J315" s="8">
        <v>157.59</v>
      </c>
      <c r="K315" s="8">
        <v>63.84</v>
      </c>
      <c r="L315" s="10" t="s">
        <v>23</v>
      </c>
    </row>
    <row r="316" spans="1:12" x14ac:dyDescent="0.3">
      <c r="A316" s="5" t="s">
        <v>667</v>
      </c>
      <c r="B316" s="6">
        <v>46010</v>
      </c>
      <c r="C316" s="7" t="s">
        <v>668</v>
      </c>
      <c r="D316" s="7" t="s">
        <v>42</v>
      </c>
      <c r="E316" s="7" t="s">
        <v>74</v>
      </c>
      <c r="F316" s="7" t="s">
        <v>75</v>
      </c>
      <c r="G316" s="7">
        <v>1</v>
      </c>
      <c r="H316" s="8">
        <v>13.69</v>
      </c>
      <c r="I316" s="9">
        <v>15</v>
      </c>
      <c r="J316" s="8">
        <v>11.64</v>
      </c>
      <c r="K316" s="8">
        <v>3.86</v>
      </c>
      <c r="L316" s="10" t="s">
        <v>23</v>
      </c>
    </row>
    <row r="317" spans="1:12" x14ac:dyDescent="0.3">
      <c r="A317" s="5" t="s">
        <v>669</v>
      </c>
      <c r="B317" s="6">
        <v>45636</v>
      </c>
      <c r="C317" s="7" t="s">
        <v>670</v>
      </c>
      <c r="D317" s="7" t="s">
        <v>20</v>
      </c>
      <c r="E317" s="7" t="s">
        <v>184</v>
      </c>
      <c r="F317" s="7" t="s">
        <v>49</v>
      </c>
      <c r="G317" s="7">
        <v>2</v>
      </c>
      <c r="H317" s="8">
        <v>58.85</v>
      </c>
      <c r="I317" s="9">
        <v>5</v>
      </c>
      <c r="J317" s="8">
        <v>111.82</v>
      </c>
      <c r="K317" s="8">
        <v>33.79</v>
      </c>
      <c r="L317" s="10" t="s">
        <v>17</v>
      </c>
    </row>
    <row r="318" spans="1:12" x14ac:dyDescent="0.3">
      <c r="A318" s="5" t="s">
        <v>671</v>
      </c>
      <c r="B318" s="6">
        <v>45673</v>
      </c>
      <c r="C318" s="7" t="s">
        <v>672</v>
      </c>
      <c r="D318" s="7" t="s">
        <v>26</v>
      </c>
      <c r="E318" s="7" t="s">
        <v>27</v>
      </c>
      <c r="F318" s="7" t="s">
        <v>22</v>
      </c>
      <c r="G318" s="7">
        <v>1</v>
      </c>
      <c r="H318" s="8">
        <v>40.47</v>
      </c>
      <c r="I318" s="9">
        <v>10</v>
      </c>
      <c r="J318" s="8">
        <v>36.42</v>
      </c>
      <c r="K318" s="8">
        <v>16.11</v>
      </c>
      <c r="L318" s="10" t="s">
        <v>23</v>
      </c>
    </row>
    <row r="319" spans="1:12" x14ac:dyDescent="0.3">
      <c r="A319" s="5" t="s">
        <v>673</v>
      </c>
      <c r="B319" s="6">
        <v>45804</v>
      </c>
      <c r="C319" s="7" t="s">
        <v>674</v>
      </c>
      <c r="D319" s="7" t="s">
        <v>14</v>
      </c>
      <c r="E319" s="7" t="s">
        <v>27</v>
      </c>
      <c r="F319" s="7" t="s">
        <v>22</v>
      </c>
      <c r="G319" s="7">
        <v>1</v>
      </c>
      <c r="H319" s="8">
        <v>29.06</v>
      </c>
      <c r="I319" s="9">
        <v>5</v>
      </c>
      <c r="J319" s="8">
        <v>27.61</v>
      </c>
      <c r="K319" s="8">
        <v>11.2</v>
      </c>
      <c r="L319" s="10" t="s">
        <v>17</v>
      </c>
    </row>
    <row r="320" spans="1:12" x14ac:dyDescent="0.3">
      <c r="A320" s="5" t="s">
        <v>675</v>
      </c>
      <c r="B320" s="6">
        <v>45330</v>
      </c>
      <c r="C320" s="7" t="s">
        <v>437</v>
      </c>
      <c r="D320" s="7" t="s">
        <v>14</v>
      </c>
      <c r="E320" s="7" t="s">
        <v>43</v>
      </c>
      <c r="F320" s="7" t="s">
        <v>22</v>
      </c>
      <c r="G320" s="7">
        <v>1</v>
      </c>
      <c r="H320" s="8">
        <v>46.72</v>
      </c>
      <c r="I320" s="9">
        <v>10</v>
      </c>
      <c r="J320" s="8">
        <v>42.05</v>
      </c>
      <c r="K320" s="8">
        <v>22.91</v>
      </c>
      <c r="L320" s="10" t="s">
        <v>17</v>
      </c>
    </row>
    <row r="321" spans="1:12" x14ac:dyDescent="0.3">
      <c r="A321" s="5" t="s">
        <v>676</v>
      </c>
      <c r="B321" s="6">
        <v>45754</v>
      </c>
      <c r="C321" s="7" t="s">
        <v>140</v>
      </c>
      <c r="D321" s="7" t="s">
        <v>37</v>
      </c>
      <c r="E321" s="7" t="s">
        <v>227</v>
      </c>
      <c r="F321" s="7" t="s">
        <v>39</v>
      </c>
      <c r="G321" s="7">
        <v>1</v>
      </c>
      <c r="H321" s="8">
        <v>76.88</v>
      </c>
      <c r="I321" s="9">
        <v>10</v>
      </c>
      <c r="J321" s="8">
        <v>69.19</v>
      </c>
      <c r="K321" s="8">
        <v>20.02</v>
      </c>
      <c r="L321" s="10" t="s">
        <v>23</v>
      </c>
    </row>
    <row r="322" spans="1:12" x14ac:dyDescent="0.3">
      <c r="A322" s="5" t="s">
        <v>677</v>
      </c>
      <c r="B322" s="6">
        <v>45802</v>
      </c>
      <c r="C322" s="7" t="s">
        <v>678</v>
      </c>
      <c r="D322" s="7" t="s">
        <v>37</v>
      </c>
      <c r="E322" s="7" t="s">
        <v>91</v>
      </c>
      <c r="F322" s="7" t="s">
        <v>49</v>
      </c>
      <c r="G322" s="7">
        <v>4</v>
      </c>
      <c r="H322" s="8">
        <v>72.11</v>
      </c>
      <c r="I322" s="9">
        <v>15</v>
      </c>
      <c r="J322" s="8">
        <v>245.17</v>
      </c>
      <c r="K322" s="8">
        <v>94.32</v>
      </c>
      <c r="L322" s="10" t="s">
        <v>23</v>
      </c>
    </row>
    <row r="323" spans="1:12" x14ac:dyDescent="0.3">
      <c r="A323" s="5" t="s">
        <v>679</v>
      </c>
      <c r="B323" s="6">
        <v>45473</v>
      </c>
      <c r="C323" s="7" t="s">
        <v>658</v>
      </c>
      <c r="D323" s="7" t="s">
        <v>20</v>
      </c>
      <c r="E323" s="7" t="s">
        <v>177</v>
      </c>
      <c r="F323" s="7" t="s">
        <v>49</v>
      </c>
      <c r="G323" s="7">
        <v>1</v>
      </c>
      <c r="H323" s="8">
        <v>34.94</v>
      </c>
      <c r="I323" s="9">
        <v>15</v>
      </c>
      <c r="J323" s="8">
        <v>29.7</v>
      </c>
      <c r="K323" s="8">
        <v>15.6</v>
      </c>
      <c r="L323" s="10" t="s">
        <v>17</v>
      </c>
    </row>
    <row r="324" spans="1:12" x14ac:dyDescent="0.3">
      <c r="A324" s="5" t="s">
        <v>680</v>
      </c>
      <c r="B324" s="6">
        <v>45674</v>
      </c>
      <c r="C324" s="7" t="s">
        <v>681</v>
      </c>
      <c r="D324" s="7" t="s">
        <v>26</v>
      </c>
      <c r="E324" s="7" t="s">
        <v>291</v>
      </c>
      <c r="F324" s="7" t="s">
        <v>22</v>
      </c>
      <c r="G324" s="7">
        <v>4</v>
      </c>
      <c r="H324" s="8">
        <v>27.2</v>
      </c>
      <c r="I324" s="9">
        <v>0</v>
      </c>
      <c r="J324" s="8">
        <v>108.8</v>
      </c>
      <c r="K324" s="8">
        <v>56.18</v>
      </c>
      <c r="L324" s="10" t="s">
        <v>17</v>
      </c>
    </row>
    <row r="325" spans="1:12" x14ac:dyDescent="0.3">
      <c r="A325" s="5" t="s">
        <v>682</v>
      </c>
      <c r="B325" s="6">
        <v>45700</v>
      </c>
      <c r="C325" s="7" t="s">
        <v>683</v>
      </c>
      <c r="D325" s="7" t="s">
        <v>37</v>
      </c>
      <c r="E325" s="7" t="s">
        <v>246</v>
      </c>
      <c r="F325" s="7" t="s">
        <v>75</v>
      </c>
      <c r="G325" s="7">
        <v>1</v>
      </c>
      <c r="H325" s="8">
        <v>52.35</v>
      </c>
      <c r="I325" s="9">
        <v>0</v>
      </c>
      <c r="J325" s="8">
        <v>52.35</v>
      </c>
      <c r="K325" s="8">
        <v>8.52</v>
      </c>
      <c r="L325" s="10" t="s">
        <v>17</v>
      </c>
    </row>
    <row r="326" spans="1:12" x14ac:dyDescent="0.3">
      <c r="A326" s="5" t="s">
        <v>684</v>
      </c>
      <c r="B326" s="6">
        <v>45761</v>
      </c>
      <c r="C326" s="7" t="s">
        <v>485</v>
      </c>
      <c r="D326" s="7" t="s">
        <v>20</v>
      </c>
      <c r="E326" s="7" t="s">
        <v>227</v>
      </c>
      <c r="F326" s="7" t="s">
        <v>39</v>
      </c>
      <c r="G326" s="7">
        <v>1</v>
      </c>
      <c r="H326" s="8">
        <v>71.209999999999994</v>
      </c>
      <c r="I326" s="9">
        <v>0</v>
      </c>
      <c r="J326" s="8">
        <v>71.209999999999994</v>
      </c>
      <c r="K326" s="8">
        <v>28.1</v>
      </c>
      <c r="L326" s="10" t="s">
        <v>17</v>
      </c>
    </row>
    <row r="327" spans="1:12" x14ac:dyDescent="0.3">
      <c r="A327" s="5" t="s">
        <v>685</v>
      </c>
      <c r="B327" s="6">
        <v>45443</v>
      </c>
      <c r="C327" s="7" t="s">
        <v>686</v>
      </c>
      <c r="D327" s="7" t="s">
        <v>14</v>
      </c>
      <c r="E327" s="7" t="s">
        <v>214</v>
      </c>
      <c r="F327" s="7" t="s">
        <v>49</v>
      </c>
      <c r="G327" s="7">
        <v>1</v>
      </c>
      <c r="H327" s="8">
        <v>84.2</v>
      </c>
      <c r="I327" s="9">
        <v>10</v>
      </c>
      <c r="J327" s="8">
        <v>75.78</v>
      </c>
      <c r="K327" s="8">
        <v>37.01</v>
      </c>
      <c r="L327" s="10" t="s">
        <v>23</v>
      </c>
    </row>
    <row r="328" spans="1:12" x14ac:dyDescent="0.3">
      <c r="A328" s="5" t="s">
        <v>687</v>
      </c>
      <c r="B328" s="6">
        <v>45411</v>
      </c>
      <c r="C328" s="7" t="s">
        <v>688</v>
      </c>
      <c r="D328" s="7" t="s">
        <v>42</v>
      </c>
      <c r="E328" s="7" t="s">
        <v>133</v>
      </c>
      <c r="F328" s="7" t="s">
        <v>75</v>
      </c>
      <c r="G328" s="7">
        <v>2</v>
      </c>
      <c r="H328" s="8">
        <v>33.33</v>
      </c>
      <c r="I328" s="9">
        <v>5</v>
      </c>
      <c r="J328" s="8">
        <v>63.33</v>
      </c>
      <c r="K328" s="8">
        <v>12.28</v>
      </c>
      <c r="L328" s="10" t="s">
        <v>23</v>
      </c>
    </row>
    <row r="329" spans="1:12" x14ac:dyDescent="0.3">
      <c r="A329" s="5" t="s">
        <v>689</v>
      </c>
      <c r="B329" s="6">
        <v>45747</v>
      </c>
      <c r="C329" s="7" t="s">
        <v>690</v>
      </c>
      <c r="D329" s="7" t="s">
        <v>14</v>
      </c>
      <c r="E329" s="7" t="s">
        <v>108</v>
      </c>
      <c r="F329" s="7" t="s">
        <v>75</v>
      </c>
      <c r="G329" s="7">
        <v>3</v>
      </c>
      <c r="H329" s="8">
        <v>59.85</v>
      </c>
      <c r="I329" s="9">
        <v>0</v>
      </c>
      <c r="J329" s="8">
        <v>179.55</v>
      </c>
      <c r="K329" s="8">
        <v>55.76</v>
      </c>
      <c r="L329" s="10" t="s">
        <v>34</v>
      </c>
    </row>
    <row r="330" spans="1:12" x14ac:dyDescent="0.3">
      <c r="A330" s="5" t="s">
        <v>691</v>
      </c>
      <c r="B330" s="6">
        <v>45882</v>
      </c>
      <c r="C330" s="7" t="s">
        <v>639</v>
      </c>
      <c r="D330" s="7" t="s">
        <v>26</v>
      </c>
      <c r="E330" s="7" t="s">
        <v>222</v>
      </c>
      <c r="F330" s="7" t="s">
        <v>22</v>
      </c>
      <c r="G330" s="7">
        <v>1</v>
      </c>
      <c r="H330" s="8">
        <v>33.659999999999997</v>
      </c>
      <c r="I330" s="9">
        <v>0</v>
      </c>
      <c r="J330" s="8">
        <v>33.659999999999997</v>
      </c>
      <c r="K330" s="8">
        <v>17.54</v>
      </c>
      <c r="L330" s="10" t="s">
        <v>17</v>
      </c>
    </row>
    <row r="331" spans="1:12" x14ac:dyDescent="0.3">
      <c r="A331" s="5" t="s">
        <v>692</v>
      </c>
      <c r="B331" s="6">
        <v>45604</v>
      </c>
      <c r="C331" s="7" t="s">
        <v>693</v>
      </c>
      <c r="D331" s="7" t="s">
        <v>26</v>
      </c>
      <c r="E331" s="7" t="s">
        <v>214</v>
      </c>
      <c r="F331" s="7" t="s">
        <v>49</v>
      </c>
      <c r="G331" s="7">
        <v>2</v>
      </c>
      <c r="H331" s="8">
        <v>72.95</v>
      </c>
      <c r="I331" s="9">
        <v>10</v>
      </c>
      <c r="J331" s="8">
        <v>131.31</v>
      </c>
      <c r="K331" s="8">
        <v>42.45</v>
      </c>
      <c r="L331" s="10" t="s">
        <v>17</v>
      </c>
    </row>
    <row r="332" spans="1:12" x14ac:dyDescent="0.3">
      <c r="A332" s="5" t="s">
        <v>694</v>
      </c>
      <c r="B332" s="6">
        <v>45479</v>
      </c>
      <c r="C332" s="7" t="s">
        <v>695</v>
      </c>
      <c r="D332" s="7" t="s">
        <v>20</v>
      </c>
      <c r="E332" s="7" t="s">
        <v>460</v>
      </c>
      <c r="F332" s="7" t="s">
        <v>75</v>
      </c>
      <c r="G332" s="7">
        <v>3</v>
      </c>
      <c r="H332" s="8">
        <v>37.75</v>
      </c>
      <c r="I332" s="9">
        <v>20</v>
      </c>
      <c r="J332" s="8">
        <v>90.6</v>
      </c>
      <c r="K332" s="8">
        <v>21.56</v>
      </c>
      <c r="L332" s="10" t="s">
        <v>17</v>
      </c>
    </row>
    <row r="333" spans="1:12" x14ac:dyDescent="0.3">
      <c r="A333" s="5" t="s">
        <v>696</v>
      </c>
      <c r="B333" s="6">
        <v>45500</v>
      </c>
      <c r="C333" s="7" t="s">
        <v>421</v>
      </c>
      <c r="D333" s="7" t="s">
        <v>42</v>
      </c>
      <c r="E333" s="7" t="s">
        <v>30</v>
      </c>
      <c r="F333" s="7" t="s">
        <v>16</v>
      </c>
      <c r="G333" s="7">
        <v>2</v>
      </c>
      <c r="H333" s="8">
        <v>74.8</v>
      </c>
      <c r="I333" s="9">
        <v>15</v>
      </c>
      <c r="J333" s="8">
        <v>127.16</v>
      </c>
      <c r="K333" s="8">
        <v>25.37</v>
      </c>
      <c r="L333" s="10" t="s">
        <v>17</v>
      </c>
    </row>
    <row r="334" spans="1:12" x14ac:dyDescent="0.3">
      <c r="A334" s="5" t="s">
        <v>697</v>
      </c>
      <c r="B334" s="6">
        <v>45835</v>
      </c>
      <c r="C334" s="7" t="s">
        <v>698</v>
      </c>
      <c r="D334" s="7" t="s">
        <v>14</v>
      </c>
      <c r="E334" s="7" t="s">
        <v>88</v>
      </c>
      <c r="F334" s="7" t="s">
        <v>22</v>
      </c>
      <c r="G334" s="7">
        <v>1</v>
      </c>
      <c r="H334" s="8">
        <v>27.38</v>
      </c>
      <c r="I334" s="9">
        <v>0</v>
      </c>
      <c r="J334" s="8">
        <v>27.38</v>
      </c>
      <c r="K334" s="8">
        <v>16.329999999999998</v>
      </c>
      <c r="L334" s="10" t="s">
        <v>17</v>
      </c>
    </row>
    <row r="335" spans="1:12" x14ac:dyDescent="0.3">
      <c r="A335" s="5" t="s">
        <v>699</v>
      </c>
      <c r="B335" s="6">
        <v>45610</v>
      </c>
      <c r="C335" s="7" t="s">
        <v>700</v>
      </c>
      <c r="D335" s="7" t="s">
        <v>26</v>
      </c>
      <c r="E335" s="7" t="s">
        <v>74</v>
      </c>
      <c r="F335" s="7" t="s">
        <v>75</v>
      </c>
      <c r="G335" s="7">
        <v>4</v>
      </c>
      <c r="H335" s="8">
        <v>41.88</v>
      </c>
      <c r="I335" s="9">
        <v>25</v>
      </c>
      <c r="J335" s="8">
        <v>125.64</v>
      </c>
      <c r="K335" s="8">
        <v>27.73</v>
      </c>
      <c r="L335" s="10" t="s">
        <v>23</v>
      </c>
    </row>
    <row r="336" spans="1:12" x14ac:dyDescent="0.3">
      <c r="A336" s="5" t="s">
        <v>701</v>
      </c>
      <c r="B336" s="6">
        <v>45518</v>
      </c>
      <c r="C336" s="7" t="s">
        <v>702</v>
      </c>
      <c r="D336" s="7" t="s">
        <v>20</v>
      </c>
      <c r="E336" s="7" t="s">
        <v>15</v>
      </c>
      <c r="F336" s="7" t="s">
        <v>16</v>
      </c>
      <c r="G336" s="7">
        <v>2</v>
      </c>
      <c r="H336" s="8">
        <v>65.34</v>
      </c>
      <c r="I336" s="9">
        <v>5</v>
      </c>
      <c r="J336" s="8">
        <v>124.15</v>
      </c>
      <c r="K336" s="8">
        <v>29.12</v>
      </c>
      <c r="L336" s="10" t="s">
        <v>23</v>
      </c>
    </row>
    <row r="337" spans="1:12" x14ac:dyDescent="0.3">
      <c r="A337" s="5" t="s">
        <v>703</v>
      </c>
      <c r="B337" s="6">
        <v>45636</v>
      </c>
      <c r="C337" s="7" t="s">
        <v>704</v>
      </c>
      <c r="D337" s="7" t="s">
        <v>37</v>
      </c>
      <c r="E337" s="7" t="s">
        <v>108</v>
      </c>
      <c r="F337" s="7" t="s">
        <v>75</v>
      </c>
      <c r="G337" s="7">
        <v>1</v>
      </c>
      <c r="H337" s="8">
        <v>54.65</v>
      </c>
      <c r="I337" s="9">
        <v>5</v>
      </c>
      <c r="J337" s="8">
        <v>51.92</v>
      </c>
      <c r="K337" s="8">
        <v>8.61</v>
      </c>
      <c r="L337" s="10" t="s">
        <v>17</v>
      </c>
    </row>
    <row r="338" spans="1:12" x14ac:dyDescent="0.3">
      <c r="A338" s="5" t="s">
        <v>705</v>
      </c>
      <c r="B338" s="6">
        <v>45789</v>
      </c>
      <c r="C338" s="7" t="s">
        <v>706</v>
      </c>
      <c r="D338" s="7" t="s">
        <v>14</v>
      </c>
      <c r="E338" s="7" t="s">
        <v>21</v>
      </c>
      <c r="F338" s="7" t="s">
        <v>22</v>
      </c>
      <c r="G338" s="7">
        <v>3</v>
      </c>
      <c r="H338" s="8">
        <v>25.09</v>
      </c>
      <c r="I338" s="9">
        <v>5</v>
      </c>
      <c r="J338" s="8">
        <v>71.510000000000005</v>
      </c>
      <c r="K338" s="8">
        <v>43.41</v>
      </c>
      <c r="L338" s="10" t="s">
        <v>34</v>
      </c>
    </row>
    <row r="339" spans="1:12" x14ac:dyDescent="0.3">
      <c r="A339" s="5" t="s">
        <v>707</v>
      </c>
      <c r="B339" s="6">
        <v>45463</v>
      </c>
      <c r="C339" s="7" t="s">
        <v>708</v>
      </c>
      <c r="D339" s="7" t="s">
        <v>37</v>
      </c>
      <c r="E339" s="7" t="s">
        <v>214</v>
      </c>
      <c r="F339" s="7" t="s">
        <v>49</v>
      </c>
      <c r="G339" s="7">
        <v>1</v>
      </c>
      <c r="H339" s="8">
        <v>46.46</v>
      </c>
      <c r="I339" s="9">
        <v>15</v>
      </c>
      <c r="J339" s="8">
        <v>39.49</v>
      </c>
      <c r="K339" s="8">
        <v>16.260000000000002</v>
      </c>
      <c r="L339" s="10" t="s">
        <v>17</v>
      </c>
    </row>
    <row r="340" spans="1:12" x14ac:dyDescent="0.3">
      <c r="A340" s="5" t="s">
        <v>709</v>
      </c>
      <c r="B340" s="6">
        <v>45611</v>
      </c>
      <c r="C340" s="7" t="s">
        <v>618</v>
      </c>
      <c r="D340" s="7" t="s">
        <v>26</v>
      </c>
      <c r="E340" s="7" t="s">
        <v>222</v>
      </c>
      <c r="F340" s="7" t="s">
        <v>22</v>
      </c>
      <c r="G340" s="7">
        <v>3</v>
      </c>
      <c r="H340" s="8">
        <v>46.55</v>
      </c>
      <c r="I340" s="9">
        <v>0</v>
      </c>
      <c r="J340" s="8">
        <v>139.65</v>
      </c>
      <c r="K340" s="8">
        <v>65.5</v>
      </c>
      <c r="L340" s="10" t="s">
        <v>17</v>
      </c>
    </row>
    <row r="341" spans="1:12" x14ac:dyDescent="0.3">
      <c r="A341" s="5" t="s">
        <v>710</v>
      </c>
      <c r="B341" s="6">
        <v>45500</v>
      </c>
      <c r="C341" s="7" t="s">
        <v>711</v>
      </c>
      <c r="D341" s="7" t="s">
        <v>42</v>
      </c>
      <c r="E341" s="7" t="s">
        <v>58</v>
      </c>
      <c r="F341" s="7" t="s">
        <v>49</v>
      </c>
      <c r="G341" s="7">
        <v>1</v>
      </c>
      <c r="H341" s="8">
        <v>35.83</v>
      </c>
      <c r="I341" s="9">
        <v>5</v>
      </c>
      <c r="J341" s="8">
        <v>34.04</v>
      </c>
      <c r="K341" s="8">
        <v>14.09</v>
      </c>
      <c r="L341" s="10" t="s">
        <v>17</v>
      </c>
    </row>
    <row r="342" spans="1:12" x14ac:dyDescent="0.3">
      <c r="A342" s="5" t="s">
        <v>712</v>
      </c>
      <c r="B342" s="6">
        <v>45726</v>
      </c>
      <c r="C342" s="7" t="s">
        <v>713</v>
      </c>
      <c r="D342" s="7" t="s">
        <v>42</v>
      </c>
      <c r="E342" s="7" t="s">
        <v>253</v>
      </c>
      <c r="F342" s="7" t="s">
        <v>49</v>
      </c>
      <c r="G342" s="7">
        <v>2</v>
      </c>
      <c r="H342" s="8">
        <v>37.99</v>
      </c>
      <c r="I342" s="9">
        <v>0</v>
      </c>
      <c r="J342" s="8">
        <v>75.98</v>
      </c>
      <c r="K342" s="8">
        <v>36.229999999999997</v>
      </c>
      <c r="L342" s="10" t="s">
        <v>17</v>
      </c>
    </row>
    <row r="343" spans="1:12" x14ac:dyDescent="0.3">
      <c r="A343" s="5" t="s">
        <v>714</v>
      </c>
      <c r="B343" s="6">
        <v>45363</v>
      </c>
      <c r="C343" s="7" t="s">
        <v>241</v>
      </c>
      <c r="D343" s="7" t="s">
        <v>14</v>
      </c>
      <c r="E343" s="7" t="s">
        <v>80</v>
      </c>
      <c r="F343" s="7" t="s">
        <v>16</v>
      </c>
      <c r="G343" s="7">
        <v>2</v>
      </c>
      <c r="H343" s="8">
        <v>26.91</v>
      </c>
      <c r="I343" s="9">
        <v>20</v>
      </c>
      <c r="J343" s="8">
        <v>43.06</v>
      </c>
      <c r="K343" s="8">
        <v>7.34</v>
      </c>
      <c r="L343" s="10" t="s">
        <v>23</v>
      </c>
    </row>
    <row r="344" spans="1:12" x14ac:dyDescent="0.3">
      <c r="A344" s="5" t="s">
        <v>715</v>
      </c>
      <c r="B344" s="6">
        <v>45473</v>
      </c>
      <c r="C344" s="7" t="s">
        <v>156</v>
      </c>
      <c r="D344" s="7" t="s">
        <v>42</v>
      </c>
      <c r="E344" s="7" t="s">
        <v>269</v>
      </c>
      <c r="F344" s="7" t="s">
        <v>75</v>
      </c>
      <c r="G344" s="7">
        <v>4</v>
      </c>
      <c r="H344" s="8">
        <v>20.67</v>
      </c>
      <c r="I344" s="9">
        <v>5</v>
      </c>
      <c r="J344" s="8">
        <v>78.55</v>
      </c>
      <c r="K344" s="8">
        <v>20.7</v>
      </c>
      <c r="L344" s="10" t="s">
        <v>17</v>
      </c>
    </row>
    <row r="345" spans="1:12" x14ac:dyDescent="0.3">
      <c r="A345" s="5" t="s">
        <v>716</v>
      </c>
      <c r="B345" s="6">
        <v>45933</v>
      </c>
      <c r="C345" s="7" t="s">
        <v>717</v>
      </c>
      <c r="D345" s="7" t="s">
        <v>14</v>
      </c>
      <c r="E345" s="7" t="s">
        <v>309</v>
      </c>
      <c r="F345" s="7" t="s">
        <v>75</v>
      </c>
      <c r="G345" s="7">
        <v>1</v>
      </c>
      <c r="H345" s="8">
        <v>33.369999999999997</v>
      </c>
      <c r="I345" s="9">
        <v>0</v>
      </c>
      <c r="J345" s="8">
        <v>33.369999999999997</v>
      </c>
      <c r="K345" s="8">
        <v>11.31</v>
      </c>
      <c r="L345" s="10" t="s">
        <v>23</v>
      </c>
    </row>
    <row r="346" spans="1:12" x14ac:dyDescent="0.3">
      <c r="A346" s="5" t="s">
        <v>718</v>
      </c>
      <c r="B346" s="6">
        <v>46012</v>
      </c>
      <c r="C346" s="7" t="s">
        <v>380</v>
      </c>
      <c r="D346" s="7" t="s">
        <v>14</v>
      </c>
      <c r="E346" s="7" t="s">
        <v>64</v>
      </c>
      <c r="F346" s="7" t="s">
        <v>16</v>
      </c>
      <c r="G346" s="7">
        <v>3</v>
      </c>
      <c r="H346" s="8">
        <v>72.19</v>
      </c>
      <c r="I346" s="9">
        <v>0</v>
      </c>
      <c r="J346" s="8">
        <v>216.57</v>
      </c>
      <c r="K346" s="8">
        <v>42.79</v>
      </c>
      <c r="L346" s="10" t="s">
        <v>34</v>
      </c>
    </row>
    <row r="347" spans="1:12" x14ac:dyDescent="0.3">
      <c r="A347" s="5" t="s">
        <v>719</v>
      </c>
      <c r="B347" s="6">
        <v>45965</v>
      </c>
      <c r="C347" s="7" t="s">
        <v>720</v>
      </c>
      <c r="D347" s="7" t="s">
        <v>37</v>
      </c>
      <c r="E347" s="7" t="s">
        <v>502</v>
      </c>
      <c r="F347" s="7" t="s">
        <v>22</v>
      </c>
      <c r="G347" s="7">
        <v>1</v>
      </c>
      <c r="H347" s="8">
        <v>41.2</v>
      </c>
      <c r="I347" s="9">
        <v>15</v>
      </c>
      <c r="J347" s="8">
        <v>35.020000000000003</v>
      </c>
      <c r="K347" s="8">
        <v>19.850000000000001</v>
      </c>
      <c r="L347" s="10" t="s">
        <v>17</v>
      </c>
    </row>
    <row r="348" spans="1:12" x14ac:dyDescent="0.3">
      <c r="A348" s="5" t="s">
        <v>721</v>
      </c>
      <c r="B348" s="6">
        <v>45621</v>
      </c>
      <c r="C348" s="7" t="s">
        <v>338</v>
      </c>
      <c r="D348" s="7" t="s">
        <v>42</v>
      </c>
      <c r="E348" s="7" t="s">
        <v>460</v>
      </c>
      <c r="F348" s="7" t="s">
        <v>75</v>
      </c>
      <c r="G348" s="7">
        <v>4</v>
      </c>
      <c r="H348" s="8">
        <v>35.450000000000003</v>
      </c>
      <c r="I348" s="9">
        <v>10</v>
      </c>
      <c r="J348" s="8">
        <v>127.62</v>
      </c>
      <c r="K348" s="8">
        <v>38.21</v>
      </c>
      <c r="L348" s="10" t="s">
        <v>34</v>
      </c>
    </row>
    <row r="349" spans="1:12" x14ac:dyDescent="0.3">
      <c r="A349" s="5" t="s">
        <v>722</v>
      </c>
      <c r="B349" s="6">
        <v>45349</v>
      </c>
      <c r="C349" s="7" t="s">
        <v>355</v>
      </c>
      <c r="D349" s="7" t="s">
        <v>37</v>
      </c>
      <c r="E349" s="7" t="s">
        <v>184</v>
      </c>
      <c r="F349" s="7" t="s">
        <v>49</v>
      </c>
      <c r="G349" s="7">
        <v>2</v>
      </c>
      <c r="H349" s="8">
        <v>58.02</v>
      </c>
      <c r="I349" s="9">
        <v>25</v>
      </c>
      <c r="J349" s="8">
        <v>87.03</v>
      </c>
      <c r="K349" s="8">
        <v>40.72</v>
      </c>
      <c r="L349" s="10" t="s">
        <v>17</v>
      </c>
    </row>
    <row r="350" spans="1:12" x14ac:dyDescent="0.3">
      <c r="A350" s="5" t="s">
        <v>723</v>
      </c>
      <c r="B350" s="6">
        <v>45658</v>
      </c>
      <c r="C350" s="7" t="s">
        <v>724</v>
      </c>
      <c r="D350" s="7" t="s">
        <v>26</v>
      </c>
      <c r="E350" s="7" t="s">
        <v>30</v>
      </c>
      <c r="F350" s="7" t="s">
        <v>16</v>
      </c>
      <c r="G350" s="7">
        <v>1</v>
      </c>
      <c r="H350" s="8">
        <v>121.3</v>
      </c>
      <c r="I350" s="9">
        <v>0</v>
      </c>
      <c r="J350" s="8">
        <v>121.3</v>
      </c>
      <c r="K350" s="8">
        <v>20.79</v>
      </c>
      <c r="L350" s="10" t="s">
        <v>23</v>
      </c>
    </row>
    <row r="351" spans="1:12" x14ac:dyDescent="0.3">
      <c r="A351" s="5" t="s">
        <v>725</v>
      </c>
      <c r="B351" s="6">
        <v>46020</v>
      </c>
      <c r="C351" s="7" t="s">
        <v>726</v>
      </c>
      <c r="D351" s="7" t="s">
        <v>14</v>
      </c>
      <c r="E351" s="7" t="s">
        <v>154</v>
      </c>
      <c r="F351" s="7" t="s">
        <v>39</v>
      </c>
      <c r="G351" s="7">
        <v>1</v>
      </c>
      <c r="H351" s="8">
        <v>49.34</v>
      </c>
      <c r="I351" s="9">
        <v>10</v>
      </c>
      <c r="J351" s="8">
        <v>44.41</v>
      </c>
      <c r="K351" s="8">
        <v>12.49</v>
      </c>
      <c r="L351" s="10" t="s">
        <v>17</v>
      </c>
    </row>
    <row r="352" spans="1:12" x14ac:dyDescent="0.3">
      <c r="A352" s="5" t="s">
        <v>727</v>
      </c>
      <c r="B352" s="6">
        <v>45750</v>
      </c>
      <c r="C352" s="7" t="s">
        <v>645</v>
      </c>
      <c r="D352" s="7" t="s">
        <v>42</v>
      </c>
      <c r="E352" s="7" t="s">
        <v>48</v>
      </c>
      <c r="F352" s="7" t="s">
        <v>49</v>
      </c>
      <c r="G352" s="7">
        <v>1</v>
      </c>
      <c r="H352" s="8">
        <v>74.7</v>
      </c>
      <c r="I352" s="9">
        <v>5</v>
      </c>
      <c r="J352" s="8">
        <v>70.97</v>
      </c>
      <c r="K352" s="8">
        <v>31.73</v>
      </c>
      <c r="L352" s="10" t="s">
        <v>17</v>
      </c>
    </row>
    <row r="353" spans="1:12" x14ac:dyDescent="0.3">
      <c r="A353" s="5" t="s">
        <v>728</v>
      </c>
      <c r="B353" s="6">
        <v>45651</v>
      </c>
      <c r="C353" s="7" t="s">
        <v>729</v>
      </c>
      <c r="D353" s="7" t="s">
        <v>26</v>
      </c>
      <c r="E353" s="7" t="s">
        <v>214</v>
      </c>
      <c r="F353" s="7" t="s">
        <v>49</v>
      </c>
      <c r="G353" s="7">
        <v>1</v>
      </c>
      <c r="H353" s="8">
        <v>30.6</v>
      </c>
      <c r="I353" s="9">
        <v>5</v>
      </c>
      <c r="J353" s="8">
        <v>29.07</v>
      </c>
      <c r="K353" s="8">
        <v>10.32</v>
      </c>
      <c r="L353" s="10" t="s">
        <v>17</v>
      </c>
    </row>
    <row r="354" spans="1:12" x14ac:dyDescent="0.3">
      <c r="A354" s="5" t="s">
        <v>730</v>
      </c>
      <c r="B354" s="6">
        <v>45376</v>
      </c>
      <c r="C354" s="7" t="s">
        <v>153</v>
      </c>
      <c r="D354" s="7" t="s">
        <v>42</v>
      </c>
      <c r="E354" s="7" t="s">
        <v>30</v>
      </c>
      <c r="F354" s="7" t="s">
        <v>16</v>
      </c>
      <c r="G354" s="7">
        <v>1</v>
      </c>
      <c r="H354" s="8">
        <v>117.26</v>
      </c>
      <c r="I354" s="9">
        <v>15</v>
      </c>
      <c r="J354" s="8">
        <v>99.67</v>
      </c>
      <c r="K354" s="8">
        <v>18.7</v>
      </c>
      <c r="L354" s="10" t="s">
        <v>23</v>
      </c>
    </row>
    <row r="355" spans="1:12" x14ac:dyDescent="0.3">
      <c r="A355" s="5" t="s">
        <v>731</v>
      </c>
      <c r="B355" s="6">
        <v>45396</v>
      </c>
      <c r="C355" s="7" t="s">
        <v>732</v>
      </c>
      <c r="D355" s="7" t="s">
        <v>37</v>
      </c>
      <c r="E355" s="7" t="s">
        <v>74</v>
      </c>
      <c r="F355" s="7" t="s">
        <v>75</v>
      </c>
      <c r="G355" s="7">
        <v>1</v>
      </c>
      <c r="H355" s="8">
        <v>31.8</v>
      </c>
      <c r="I355" s="9">
        <v>15</v>
      </c>
      <c r="J355" s="8">
        <v>27.03</v>
      </c>
      <c r="K355" s="8">
        <v>7.93</v>
      </c>
      <c r="L355" s="10" t="s">
        <v>34</v>
      </c>
    </row>
    <row r="356" spans="1:12" x14ac:dyDescent="0.3">
      <c r="A356" s="5" t="s">
        <v>733</v>
      </c>
      <c r="B356" s="6">
        <v>45444</v>
      </c>
      <c r="C356" s="7" t="s">
        <v>734</v>
      </c>
      <c r="D356" s="7" t="s">
        <v>20</v>
      </c>
      <c r="E356" s="7" t="s">
        <v>91</v>
      </c>
      <c r="F356" s="7" t="s">
        <v>49</v>
      </c>
      <c r="G356" s="7">
        <v>1</v>
      </c>
      <c r="H356" s="8">
        <v>77.89</v>
      </c>
      <c r="I356" s="9">
        <v>10</v>
      </c>
      <c r="J356" s="8">
        <v>70.099999999999994</v>
      </c>
      <c r="K356" s="8">
        <v>28.88</v>
      </c>
      <c r="L356" s="10" t="s">
        <v>23</v>
      </c>
    </row>
    <row r="357" spans="1:12" x14ac:dyDescent="0.3">
      <c r="A357" s="5" t="s">
        <v>735</v>
      </c>
      <c r="B357" s="6">
        <v>45854</v>
      </c>
      <c r="C357" s="7" t="s">
        <v>736</v>
      </c>
      <c r="D357" s="7" t="s">
        <v>14</v>
      </c>
      <c r="E357" s="7" t="s">
        <v>148</v>
      </c>
      <c r="F357" s="7" t="s">
        <v>16</v>
      </c>
      <c r="G357" s="7">
        <v>5</v>
      </c>
      <c r="H357" s="8">
        <v>115.36</v>
      </c>
      <c r="I357" s="9">
        <v>20</v>
      </c>
      <c r="J357" s="8">
        <v>461.44</v>
      </c>
      <c r="K357" s="8">
        <v>62.12</v>
      </c>
      <c r="L357" s="10" t="s">
        <v>17</v>
      </c>
    </row>
    <row r="358" spans="1:12" x14ac:dyDescent="0.3">
      <c r="A358" s="5" t="s">
        <v>737</v>
      </c>
      <c r="B358" s="6">
        <v>45700</v>
      </c>
      <c r="C358" s="7" t="s">
        <v>738</v>
      </c>
      <c r="D358" s="7" t="s">
        <v>20</v>
      </c>
      <c r="E358" s="7" t="s">
        <v>232</v>
      </c>
      <c r="F358" s="7" t="s">
        <v>22</v>
      </c>
      <c r="G358" s="7">
        <v>1</v>
      </c>
      <c r="H358" s="8">
        <v>49.28</v>
      </c>
      <c r="I358" s="9">
        <v>20</v>
      </c>
      <c r="J358" s="8">
        <v>39.42</v>
      </c>
      <c r="K358" s="8">
        <v>25.49</v>
      </c>
      <c r="L358" s="10" t="s">
        <v>17</v>
      </c>
    </row>
    <row r="359" spans="1:12" x14ac:dyDescent="0.3">
      <c r="A359" s="5" t="s">
        <v>739</v>
      </c>
      <c r="B359" s="6">
        <v>45873</v>
      </c>
      <c r="C359" s="7" t="s">
        <v>567</v>
      </c>
      <c r="D359" s="7" t="s">
        <v>20</v>
      </c>
      <c r="E359" s="7" t="s">
        <v>184</v>
      </c>
      <c r="F359" s="7" t="s">
        <v>49</v>
      </c>
      <c r="G359" s="7">
        <v>2</v>
      </c>
      <c r="H359" s="8">
        <v>25.33</v>
      </c>
      <c r="I359" s="9">
        <v>10</v>
      </c>
      <c r="J359" s="8">
        <v>45.59</v>
      </c>
      <c r="K359" s="8">
        <v>20.97</v>
      </c>
      <c r="L359" s="10" t="s">
        <v>17</v>
      </c>
    </row>
    <row r="360" spans="1:12" x14ac:dyDescent="0.3">
      <c r="A360" s="5" t="s">
        <v>740</v>
      </c>
      <c r="B360" s="6">
        <v>45623</v>
      </c>
      <c r="C360" s="7" t="s">
        <v>741</v>
      </c>
      <c r="D360" s="7" t="s">
        <v>20</v>
      </c>
      <c r="E360" s="7" t="s">
        <v>118</v>
      </c>
      <c r="F360" s="7" t="s">
        <v>49</v>
      </c>
      <c r="G360" s="7">
        <v>1</v>
      </c>
      <c r="H360" s="8">
        <v>21.47</v>
      </c>
      <c r="I360" s="9">
        <v>20</v>
      </c>
      <c r="J360" s="8">
        <v>17.18</v>
      </c>
      <c r="K360" s="8">
        <v>9.18</v>
      </c>
      <c r="L360" s="10" t="s">
        <v>23</v>
      </c>
    </row>
    <row r="361" spans="1:12" x14ac:dyDescent="0.3">
      <c r="A361" s="5" t="s">
        <v>742</v>
      </c>
      <c r="B361" s="6">
        <v>45704</v>
      </c>
      <c r="C361" s="7" t="s">
        <v>743</v>
      </c>
      <c r="D361" s="7" t="s">
        <v>26</v>
      </c>
      <c r="E361" s="7" t="s">
        <v>177</v>
      </c>
      <c r="F361" s="7" t="s">
        <v>49</v>
      </c>
      <c r="G361" s="7">
        <v>1</v>
      </c>
      <c r="H361" s="8">
        <v>22.47</v>
      </c>
      <c r="I361" s="9">
        <v>10</v>
      </c>
      <c r="J361" s="8">
        <v>20.22</v>
      </c>
      <c r="K361" s="8">
        <v>7.46</v>
      </c>
      <c r="L361" s="10" t="s">
        <v>23</v>
      </c>
    </row>
    <row r="362" spans="1:12" x14ac:dyDescent="0.3">
      <c r="A362" s="5" t="s">
        <v>744</v>
      </c>
      <c r="B362" s="6">
        <v>45321</v>
      </c>
      <c r="C362" s="7" t="s">
        <v>745</v>
      </c>
      <c r="D362" s="7" t="s">
        <v>37</v>
      </c>
      <c r="E362" s="7" t="s">
        <v>108</v>
      </c>
      <c r="F362" s="7" t="s">
        <v>75</v>
      </c>
      <c r="G362" s="7">
        <v>1</v>
      </c>
      <c r="H362" s="8">
        <v>44.78</v>
      </c>
      <c r="I362" s="9">
        <v>20</v>
      </c>
      <c r="J362" s="8">
        <v>35.82</v>
      </c>
      <c r="K362" s="8">
        <v>8.5</v>
      </c>
      <c r="L362" s="10" t="s">
        <v>23</v>
      </c>
    </row>
    <row r="363" spans="1:12" x14ac:dyDescent="0.3">
      <c r="A363" s="5" t="s">
        <v>746</v>
      </c>
      <c r="B363" s="6">
        <v>45549</v>
      </c>
      <c r="C363" s="7" t="s">
        <v>653</v>
      </c>
      <c r="D363" s="7" t="s">
        <v>37</v>
      </c>
      <c r="E363" s="7" t="s">
        <v>94</v>
      </c>
      <c r="F363" s="7" t="s">
        <v>75</v>
      </c>
      <c r="G363" s="7">
        <v>1</v>
      </c>
      <c r="H363" s="8">
        <v>38.869999999999997</v>
      </c>
      <c r="I363" s="9">
        <v>0</v>
      </c>
      <c r="J363" s="8">
        <v>38.869999999999997</v>
      </c>
      <c r="K363" s="8">
        <v>8.41</v>
      </c>
      <c r="L363" s="10" t="s">
        <v>34</v>
      </c>
    </row>
    <row r="364" spans="1:12" x14ac:dyDescent="0.3">
      <c r="A364" s="5" t="s">
        <v>747</v>
      </c>
      <c r="B364" s="6">
        <v>45737</v>
      </c>
      <c r="C364" s="7" t="s">
        <v>547</v>
      </c>
      <c r="D364" s="7" t="s">
        <v>26</v>
      </c>
      <c r="E364" s="7" t="s">
        <v>208</v>
      </c>
      <c r="F364" s="7" t="s">
        <v>22</v>
      </c>
      <c r="G364" s="7">
        <v>4</v>
      </c>
      <c r="H364" s="8">
        <v>37.78</v>
      </c>
      <c r="I364" s="9">
        <v>10</v>
      </c>
      <c r="J364" s="8">
        <v>136.01</v>
      </c>
      <c r="K364" s="8">
        <v>85.85</v>
      </c>
      <c r="L364" s="10" t="s">
        <v>17</v>
      </c>
    </row>
    <row r="365" spans="1:12" x14ac:dyDescent="0.3">
      <c r="A365" s="5" t="s">
        <v>748</v>
      </c>
      <c r="B365" s="6">
        <v>45614</v>
      </c>
      <c r="C365" s="7" t="s">
        <v>749</v>
      </c>
      <c r="D365" s="7" t="s">
        <v>42</v>
      </c>
      <c r="E365" s="7" t="s">
        <v>43</v>
      </c>
      <c r="F365" s="7" t="s">
        <v>22</v>
      </c>
      <c r="G365" s="7">
        <v>1</v>
      </c>
      <c r="H365" s="8">
        <v>43.25</v>
      </c>
      <c r="I365" s="9">
        <v>5</v>
      </c>
      <c r="J365" s="8">
        <v>41.09</v>
      </c>
      <c r="K365" s="8">
        <v>17.87</v>
      </c>
      <c r="L365" s="10" t="s">
        <v>23</v>
      </c>
    </row>
    <row r="366" spans="1:12" x14ac:dyDescent="0.3">
      <c r="A366" s="5" t="s">
        <v>750</v>
      </c>
      <c r="B366" s="6">
        <v>45761</v>
      </c>
      <c r="C366" s="7" t="s">
        <v>751</v>
      </c>
      <c r="D366" s="7" t="s">
        <v>42</v>
      </c>
      <c r="E366" s="7" t="s">
        <v>232</v>
      </c>
      <c r="F366" s="7" t="s">
        <v>22</v>
      </c>
      <c r="G366" s="7">
        <v>2</v>
      </c>
      <c r="H366" s="8">
        <v>32.15</v>
      </c>
      <c r="I366" s="9">
        <v>10</v>
      </c>
      <c r="J366" s="8">
        <v>57.87</v>
      </c>
      <c r="K366" s="8">
        <v>26.67</v>
      </c>
      <c r="L366" s="10" t="s">
        <v>17</v>
      </c>
    </row>
    <row r="367" spans="1:12" x14ac:dyDescent="0.3">
      <c r="A367" s="5" t="s">
        <v>752</v>
      </c>
      <c r="B367" s="6">
        <v>45679</v>
      </c>
      <c r="C367" s="7" t="s">
        <v>479</v>
      </c>
      <c r="D367" s="7" t="s">
        <v>20</v>
      </c>
      <c r="E367" s="7" t="s">
        <v>232</v>
      </c>
      <c r="F367" s="7" t="s">
        <v>22</v>
      </c>
      <c r="G367" s="7">
        <v>1</v>
      </c>
      <c r="H367" s="8">
        <v>45.21</v>
      </c>
      <c r="I367" s="9">
        <v>10</v>
      </c>
      <c r="J367" s="8">
        <v>40.69</v>
      </c>
      <c r="K367" s="8">
        <v>24.66</v>
      </c>
      <c r="L367" s="10" t="s">
        <v>23</v>
      </c>
    </row>
    <row r="368" spans="1:12" x14ac:dyDescent="0.3">
      <c r="A368" s="5" t="s">
        <v>753</v>
      </c>
      <c r="B368" s="6">
        <v>45414</v>
      </c>
      <c r="C368" s="7" t="s">
        <v>754</v>
      </c>
      <c r="D368" s="7" t="s">
        <v>42</v>
      </c>
      <c r="E368" s="7" t="s">
        <v>15</v>
      </c>
      <c r="F368" s="7" t="s">
        <v>16</v>
      </c>
      <c r="G368" s="7">
        <v>4</v>
      </c>
      <c r="H368" s="8">
        <v>118.28</v>
      </c>
      <c r="I368" s="9">
        <v>5</v>
      </c>
      <c r="J368" s="8">
        <v>449.46</v>
      </c>
      <c r="K368" s="8">
        <v>50.38</v>
      </c>
      <c r="L368" s="10" t="s">
        <v>23</v>
      </c>
    </row>
    <row r="369" spans="1:12" x14ac:dyDescent="0.3">
      <c r="A369" s="5" t="s">
        <v>755</v>
      </c>
      <c r="B369" s="6">
        <v>45853</v>
      </c>
      <c r="C369" s="7" t="s">
        <v>756</v>
      </c>
      <c r="D369" s="7" t="s">
        <v>20</v>
      </c>
      <c r="E369" s="7" t="s">
        <v>94</v>
      </c>
      <c r="F369" s="7" t="s">
        <v>75</v>
      </c>
      <c r="G369" s="7">
        <v>1</v>
      </c>
      <c r="H369" s="8">
        <v>23.11</v>
      </c>
      <c r="I369" s="9">
        <v>15</v>
      </c>
      <c r="J369" s="8">
        <v>19.64</v>
      </c>
      <c r="K369" s="8">
        <v>5.92</v>
      </c>
      <c r="L369" s="10" t="s">
        <v>17</v>
      </c>
    </row>
    <row r="370" spans="1:12" x14ac:dyDescent="0.3">
      <c r="A370" s="5" t="s">
        <v>757</v>
      </c>
      <c r="B370" s="6">
        <v>45940</v>
      </c>
      <c r="C370" s="7" t="s">
        <v>758</v>
      </c>
      <c r="D370" s="7" t="s">
        <v>42</v>
      </c>
      <c r="E370" s="7" t="s">
        <v>314</v>
      </c>
      <c r="F370" s="7" t="s">
        <v>16</v>
      </c>
      <c r="G370" s="7">
        <v>2</v>
      </c>
      <c r="H370" s="8">
        <v>112.49</v>
      </c>
      <c r="I370" s="9">
        <v>0</v>
      </c>
      <c r="J370" s="8">
        <v>224.98</v>
      </c>
      <c r="K370" s="8">
        <v>20.440000000000001</v>
      </c>
      <c r="L370" s="10" t="s">
        <v>17</v>
      </c>
    </row>
    <row r="371" spans="1:12" x14ac:dyDescent="0.3">
      <c r="A371" s="5" t="s">
        <v>759</v>
      </c>
      <c r="B371" s="6">
        <v>45693</v>
      </c>
      <c r="C371" s="7" t="s">
        <v>252</v>
      </c>
      <c r="D371" s="7" t="s">
        <v>26</v>
      </c>
      <c r="E371" s="7" t="s">
        <v>136</v>
      </c>
      <c r="F371" s="7" t="s">
        <v>75</v>
      </c>
      <c r="G371" s="7">
        <v>2</v>
      </c>
      <c r="H371" s="8">
        <v>42.24</v>
      </c>
      <c r="I371" s="9">
        <v>15</v>
      </c>
      <c r="J371" s="8">
        <v>71.81</v>
      </c>
      <c r="K371" s="8">
        <v>23.54</v>
      </c>
      <c r="L371" s="10" t="s">
        <v>17</v>
      </c>
    </row>
    <row r="372" spans="1:12" x14ac:dyDescent="0.3">
      <c r="A372" s="5" t="s">
        <v>760</v>
      </c>
      <c r="B372" s="6">
        <v>45681</v>
      </c>
      <c r="C372" s="7" t="s">
        <v>761</v>
      </c>
      <c r="D372" s="7" t="s">
        <v>14</v>
      </c>
      <c r="E372" s="7" t="s">
        <v>502</v>
      </c>
      <c r="F372" s="7" t="s">
        <v>22</v>
      </c>
      <c r="G372" s="7">
        <v>1</v>
      </c>
      <c r="H372" s="8">
        <v>49.72</v>
      </c>
      <c r="I372" s="9">
        <v>10</v>
      </c>
      <c r="J372" s="8">
        <v>44.75</v>
      </c>
      <c r="K372" s="8">
        <v>18.27</v>
      </c>
      <c r="L372" s="10" t="s">
        <v>17</v>
      </c>
    </row>
    <row r="373" spans="1:12" x14ac:dyDescent="0.3">
      <c r="A373" s="5" t="s">
        <v>762</v>
      </c>
      <c r="B373" s="6">
        <v>45429</v>
      </c>
      <c r="C373" s="7" t="s">
        <v>741</v>
      </c>
      <c r="D373" s="7" t="s">
        <v>42</v>
      </c>
      <c r="E373" s="7" t="s">
        <v>69</v>
      </c>
      <c r="F373" s="7" t="s">
        <v>39</v>
      </c>
      <c r="G373" s="7">
        <v>3</v>
      </c>
      <c r="H373" s="8">
        <v>41.19</v>
      </c>
      <c r="I373" s="9">
        <v>5</v>
      </c>
      <c r="J373" s="8">
        <v>117.39</v>
      </c>
      <c r="K373" s="8">
        <v>44.58</v>
      </c>
      <c r="L373" s="10" t="s">
        <v>17</v>
      </c>
    </row>
    <row r="374" spans="1:12" x14ac:dyDescent="0.3">
      <c r="A374" s="5" t="s">
        <v>763</v>
      </c>
      <c r="B374" s="6">
        <v>45363</v>
      </c>
      <c r="C374" s="7" t="s">
        <v>764</v>
      </c>
      <c r="D374" s="7" t="s">
        <v>14</v>
      </c>
      <c r="E374" s="7" t="s">
        <v>136</v>
      </c>
      <c r="F374" s="7" t="s">
        <v>75</v>
      </c>
      <c r="G374" s="7">
        <v>4</v>
      </c>
      <c r="H374" s="8">
        <v>14.87</v>
      </c>
      <c r="I374" s="9">
        <v>0</v>
      </c>
      <c r="J374" s="8">
        <v>59.48</v>
      </c>
      <c r="K374" s="8">
        <v>18.739999999999998</v>
      </c>
      <c r="L374" s="10" t="s">
        <v>17</v>
      </c>
    </row>
    <row r="375" spans="1:12" x14ac:dyDescent="0.3">
      <c r="A375" s="5" t="s">
        <v>765</v>
      </c>
      <c r="B375" s="6">
        <v>45658</v>
      </c>
      <c r="C375" s="7" t="s">
        <v>766</v>
      </c>
      <c r="D375" s="7" t="s">
        <v>37</v>
      </c>
      <c r="E375" s="7" t="s">
        <v>187</v>
      </c>
      <c r="F375" s="7" t="s">
        <v>75</v>
      </c>
      <c r="G375" s="7">
        <v>2</v>
      </c>
      <c r="H375" s="8">
        <v>51.27</v>
      </c>
      <c r="I375" s="9">
        <v>10</v>
      </c>
      <c r="J375" s="8">
        <v>92.29</v>
      </c>
      <c r="K375" s="8">
        <v>26.05</v>
      </c>
      <c r="L375" s="10" t="s">
        <v>17</v>
      </c>
    </row>
    <row r="376" spans="1:12" x14ac:dyDescent="0.3">
      <c r="A376" s="5" t="s">
        <v>767</v>
      </c>
      <c r="B376" s="6">
        <v>45511</v>
      </c>
      <c r="C376" s="7" t="s">
        <v>768</v>
      </c>
      <c r="D376" s="7" t="s">
        <v>14</v>
      </c>
      <c r="E376" s="7" t="s">
        <v>94</v>
      </c>
      <c r="F376" s="7" t="s">
        <v>75</v>
      </c>
      <c r="G376" s="7">
        <v>4</v>
      </c>
      <c r="H376" s="8">
        <v>12.01</v>
      </c>
      <c r="I376" s="9">
        <v>0</v>
      </c>
      <c r="J376" s="8">
        <v>48.04</v>
      </c>
      <c r="K376" s="8">
        <v>11.02</v>
      </c>
      <c r="L376" s="10" t="s">
        <v>17</v>
      </c>
    </row>
    <row r="377" spans="1:12" x14ac:dyDescent="0.3">
      <c r="A377" s="5" t="s">
        <v>769</v>
      </c>
      <c r="B377" s="6">
        <v>45968</v>
      </c>
      <c r="C377" s="7" t="s">
        <v>770</v>
      </c>
      <c r="D377" s="7" t="s">
        <v>14</v>
      </c>
      <c r="E377" s="7" t="s">
        <v>55</v>
      </c>
      <c r="F377" s="7" t="s">
        <v>16</v>
      </c>
      <c r="G377" s="7">
        <v>4</v>
      </c>
      <c r="H377" s="8">
        <v>45.17</v>
      </c>
      <c r="I377" s="9">
        <v>20</v>
      </c>
      <c r="J377" s="8">
        <v>144.54</v>
      </c>
      <c r="K377" s="8">
        <v>35.28</v>
      </c>
      <c r="L377" s="10" t="s">
        <v>23</v>
      </c>
    </row>
    <row r="378" spans="1:12" x14ac:dyDescent="0.3">
      <c r="A378" s="5" t="s">
        <v>771</v>
      </c>
      <c r="B378" s="6">
        <v>46007</v>
      </c>
      <c r="C378" s="7" t="s">
        <v>770</v>
      </c>
      <c r="D378" s="7" t="s">
        <v>26</v>
      </c>
      <c r="E378" s="7" t="s">
        <v>502</v>
      </c>
      <c r="F378" s="7" t="s">
        <v>22</v>
      </c>
      <c r="G378" s="7">
        <v>1</v>
      </c>
      <c r="H378" s="8">
        <v>7.17</v>
      </c>
      <c r="I378" s="9">
        <v>5</v>
      </c>
      <c r="J378" s="8">
        <v>6.81</v>
      </c>
      <c r="K378" s="8">
        <v>2.79</v>
      </c>
      <c r="L378" s="10" t="s">
        <v>23</v>
      </c>
    </row>
    <row r="379" spans="1:12" x14ac:dyDescent="0.3">
      <c r="A379" s="5" t="s">
        <v>772</v>
      </c>
      <c r="B379" s="6">
        <v>45442</v>
      </c>
      <c r="C379" s="7" t="s">
        <v>773</v>
      </c>
      <c r="D379" s="7" t="s">
        <v>42</v>
      </c>
      <c r="E379" s="7" t="s">
        <v>80</v>
      </c>
      <c r="F379" s="7" t="s">
        <v>16</v>
      </c>
      <c r="G379" s="7">
        <v>5</v>
      </c>
      <c r="H379" s="8">
        <v>69.13</v>
      </c>
      <c r="I379" s="9">
        <v>10</v>
      </c>
      <c r="J379" s="8">
        <v>311.08</v>
      </c>
      <c r="K379" s="8">
        <v>26.4</v>
      </c>
      <c r="L379" s="10" t="s">
        <v>23</v>
      </c>
    </row>
    <row r="380" spans="1:12" x14ac:dyDescent="0.3">
      <c r="A380" s="5" t="s">
        <v>774</v>
      </c>
      <c r="B380" s="6">
        <v>45920</v>
      </c>
      <c r="C380" s="7" t="s">
        <v>775</v>
      </c>
      <c r="D380" s="7" t="s">
        <v>37</v>
      </c>
      <c r="E380" s="7" t="s">
        <v>43</v>
      </c>
      <c r="F380" s="7" t="s">
        <v>22</v>
      </c>
      <c r="G380" s="7">
        <v>1</v>
      </c>
      <c r="H380" s="8">
        <v>26.36</v>
      </c>
      <c r="I380" s="9">
        <v>5</v>
      </c>
      <c r="J380" s="8">
        <v>25.04</v>
      </c>
      <c r="K380" s="8">
        <v>14.27</v>
      </c>
      <c r="L380" s="10" t="s">
        <v>23</v>
      </c>
    </row>
    <row r="381" spans="1:12" x14ac:dyDescent="0.3">
      <c r="A381" s="5" t="s">
        <v>776</v>
      </c>
      <c r="B381" s="6">
        <v>45701</v>
      </c>
      <c r="C381" s="7" t="s">
        <v>777</v>
      </c>
      <c r="D381" s="7" t="s">
        <v>20</v>
      </c>
      <c r="E381" s="7" t="s">
        <v>133</v>
      </c>
      <c r="F381" s="7" t="s">
        <v>75</v>
      </c>
      <c r="G381" s="7">
        <v>4</v>
      </c>
      <c r="H381" s="8">
        <v>16</v>
      </c>
      <c r="I381" s="9">
        <v>0</v>
      </c>
      <c r="J381" s="8">
        <v>64</v>
      </c>
      <c r="K381" s="8">
        <v>13.86</v>
      </c>
      <c r="L381" s="10" t="s">
        <v>23</v>
      </c>
    </row>
    <row r="382" spans="1:12" x14ac:dyDescent="0.3">
      <c r="A382" s="5" t="s">
        <v>778</v>
      </c>
      <c r="B382" s="6">
        <v>45595</v>
      </c>
      <c r="C382" s="7" t="s">
        <v>779</v>
      </c>
      <c r="D382" s="7" t="s">
        <v>20</v>
      </c>
      <c r="E382" s="7" t="s">
        <v>43</v>
      </c>
      <c r="F382" s="7" t="s">
        <v>22</v>
      </c>
      <c r="G382" s="7">
        <v>1</v>
      </c>
      <c r="H382" s="8">
        <v>35.4</v>
      </c>
      <c r="I382" s="9">
        <v>10</v>
      </c>
      <c r="J382" s="8">
        <v>31.86</v>
      </c>
      <c r="K382" s="8">
        <v>15</v>
      </c>
      <c r="L382" s="10" t="s">
        <v>23</v>
      </c>
    </row>
    <row r="383" spans="1:12" x14ac:dyDescent="0.3">
      <c r="A383" s="5" t="s">
        <v>780</v>
      </c>
      <c r="B383" s="6">
        <v>45896</v>
      </c>
      <c r="C383" s="7" t="s">
        <v>781</v>
      </c>
      <c r="D383" s="7" t="s">
        <v>37</v>
      </c>
      <c r="E383" s="7" t="s">
        <v>187</v>
      </c>
      <c r="F383" s="7" t="s">
        <v>75</v>
      </c>
      <c r="G383" s="7">
        <v>1</v>
      </c>
      <c r="H383" s="8">
        <v>8.6199999999999992</v>
      </c>
      <c r="I383" s="9">
        <v>5</v>
      </c>
      <c r="J383" s="8">
        <v>8.19</v>
      </c>
      <c r="K383" s="8">
        <v>1.92</v>
      </c>
      <c r="L383" s="10" t="s">
        <v>23</v>
      </c>
    </row>
    <row r="384" spans="1:12" x14ac:dyDescent="0.3">
      <c r="A384" s="5" t="s">
        <v>782</v>
      </c>
      <c r="B384" s="6">
        <v>45969</v>
      </c>
      <c r="C384" s="7" t="s">
        <v>783</v>
      </c>
      <c r="D384" s="7" t="s">
        <v>20</v>
      </c>
      <c r="E384" s="7" t="s">
        <v>133</v>
      </c>
      <c r="F384" s="7" t="s">
        <v>75</v>
      </c>
      <c r="G384" s="7">
        <v>1</v>
      </c>
      <c r="H384" s="8">
        <v>43.88</v>
      </c>
      <c r="I384" s="9">
        <v>0</v>
      </c>
      <c r="J384" s="8">
        <v>43.88</v>
      </c>
      <c r="K384" s="8">
        <v>10.98</v>
      </c>
      <c r="L384" s="10" t="s">
        <v>17</v>
      </c>
    </row>
    <row r="385" spans="1:12" x14ac:dyDescent="0.3">
      <c r="A385" s="5" t="s">
        <v>784</v>
      </c>
      <c r="B385" s="6">
        <v>45608</v>
      </c>
      <c r="C385" s="7" t="s">
        <v>758</v>
      </c>
      <c r="D385" s="7" t="s">
        <v>37</v>
      </c>
      <c r="E385" s="7" t="s">
        <v>58</v>
      </c>
      <c r="F385" s="7" t="s">
        <v>49</v>
      </c>
      <c r="G385" s="7">
        <v>1</v>
      </c>
      <c r="H385" s="8">
        <v>49.4</v>
      </c>
      <c r="I385" s="9">
        <v>15</v>
      </c>
      <c r="J385" s="8">
        <v>41.99</v>
      </c>
      <c r="K385" s="8">
        <v>16.399999999999999</v>
      </c>
      <c r="L385" s="10" t="s">
        <v>34</v>
      </c>
    </row>
    <row r="386" spans="1:12" x14ac:dyDescent="0.3">
      <c r="A386" s="5" t="s">
        <v>785</v>
      </c>
      <c r="B386" s="6">
        <v>45387</v>
      </c>
      <c r="C386" s="7" t="s">
        <v>786</v>
      </c>
      <c r="D386" s="7" t="s">
        <v>14</v>
      </c>
      <c r="E386" s="7" t="s">
        <v>151</v>
      </c>
      <c r="F386" s="7" t="s">
        <v>39</v>
      </c>
      <c r="G386" s="7">
        <v>3</v>
      </c>
      <c r="H386" s="8">
        <v>12.67</v>
      </c>
      <c r="I386" s="9">
        <v>10</v>
      </c>
      <c r="J386" s="8">
        <v>34.21</v>
      </c>
      <c r="K386" s="8">
        <v>9.67</v>
      </c>
      <c r="L386" s="10" t="s">
        <v>23</v>
      </c>
    </row>
    <row r="387" spans="1:12" x14ac:dyDescent="0.3">
      <c r="A387" s="5" t="s">
        <v>787</v>
      </c>
      <c r="B387" s="6">
        <v>45410</v>
      </c>
      <c r="C387" s="7" t="s">
        <v>788</v>
      </c>
      <c r="D387" s="7" t="s">
        <v>20</v>
      </c>
      <c r="E387" s="7" t="s">
        <v>222</v>
      </c>
      <c r="F387" s="7" t="s">
        <v>22</v>
      </c>
      <c r="G387" s="7">
        <v>2</v>
      </c>
      <c r="H387" s="8">
        <v>40.89</v>
      </c>
      <c r="I387" s="9">
        <v>5</v>
      </c>
      <c r="J387" s="8">
        <v>77.69</v>
      </c>
      <c r="K387" s="8">
        <v>36.36</v>
      </c>
      <c r="L387" s="10" t="s">
        <v>17</v>
      </c>
    </row>
    <row r="388" spans="1:12" x14ac:dyDescent="0.3">
      <c r="A388" s="5" t="s">
        <v>789</v>
      </c>
      <c r="B388" s="6">
        <v>45660</v>
      </c>
      <c r="C388" s="7" t="s">
        <v>577</v>
      </c>
      <c r="D388" s="7" t="s">
        <v>14</v>
      </c>
      <c r="E388" s="7" t="s">
        <v>502</v>
      </c>
      <c r="F388" s="7" t="s">
        <v>22</v>
      </c>
      <c r="G388" s="7">
        <v>2</v>
      </c>
      <c r="H388" s="8">
        <v>43.22</v>
      </c>
      <c r="I388" s="9">
        <v>0</v>
      </c>
      <c r="J388" s="8">
        <v>86.44</v>
      </c>
      <c r="K388" s="8">
        <v>44.95</v>
      </c>
      <c r="L388" s="10" t="s">
        <v>17</v>
      </c>
    </row>
    <row r="389" spans="1:12" x14ac:dyDescent="0.3">
      <c r="A389" s="5" t="s">
        <v>790</v>
      </c>
      <c r="B389" s="6">
        <v>45655</v>
      </c>
      <c r="C389" s="7" t="s">
        <v>791</v>
      </c>
      <c r="D389" s="7" t="s">
        <v>14</v>
      </c>
      <c r="E389" s="7" t="s">
        <v>269</v>
      </c>
      <c r="F389" s="7" t="s">
        <v>75</v>
      </c>
      <c r="G389" s="7">
        <v>2</v>
      </c>
      <c r="H389" s="8">
        <v>59.71</v>
      </c>
      <c r="I389" s="9">
        <v>5</v>
      </c>
      <c r="J389" s="8">
        <v>113.45</v>
      </c>
      <c r="K389" s="8">
        <v>38.35</v>
      </c>
      <c r="L389" s="10" t="s">
        <v>17</v>
      </c>
    </row>
    <row r="390" spans="1:12" x14ac:dyDescent="0.3">
      <c r="A390" s="5" t="s">
        <v>792</v>
      </c>
      <c r="B390" s="6">
        <v>45866</v>
      </c>
      <c r="C390" s="7" t="s">
        <v>793</v>
      </c>
      <c r="D390" s="7" t="s">
        <v>37</v>
      </c>
      <c r="E390" s="7" t="s">
        <v>269</v>
      </c>
      <c r="F390" s="7" t="s">
        <v>75</v>
      </c>
      <c r="G390" s="7">
        <v>1</v>
      </c>
      <c r="H390" s="8">
        <v>26.83</v>
      </c>
      <c r="I390" s="9">
        <v>5</v>
      </c>
      <c r="J390" s="8">
        <v>25.49</v>
      </c>
      <c r="K390" s="8">
        <v>4.4000000000000004</v>
      </c>
      <c r="L390" s="10" t="s">
        <v>34</v>
      </c>
    </row>
    <row r="391" spans="1:12" x14ac:dyDescent="0.3">
      <c r="A391" s="5" t="s">
        <v>794</v>
      </c>
      <c r="B391" s="6">
        <v>45570</v>
      </c>
      <c r="C391" s="7" t="s">
        <v>795</v>
      </c>
      <c r="D391" s="7" t="s">
        <v>37</v>
      </c>
      <c r="E391" s="7" t="s">
        <v>177</v>
      </c>
      <c r="F391" s="7" t="s">
        <v>49</v>
      </c>
      <c r="G391" s="7">
        <v>4</v>
      </c>
      <c r="H391" s="8">
        <v>21.51</v>
      </c>
      <c r="I391" s="9">
        <v>20</v>
      </c>
      <c r="J391" s="8">
        <v>68.83</v>
      </c>
      <c r="K391" s="8">
        <v>30.87</v>
      </c>
      <c r="L391" s="10" t="s">
        <v>23</v>
      </c>
    </row>
    <row r="392" spans="1:12" x14ac:dyDescent="0.3">
      <c r="A392" s="5" t="s">
        <v>796</v>
      </c>
      <c r="B392" s="6">
        <v>45790</v>
      </c>
      <c r="C392" s="7" t="s">
        <v>797</v>
      </c>
      <c r="D392" s="7" t="s">
        <v>37</v>
      </c>
      <c r="E392" s="7" t="s">
        <v>30</v>
      </c>
      <c r="F392" s="7" t="s">
        <v>16</v>
      </c>
      <c r="G392" s="7">
        <v>2</v>
      </c>
      <c r="H392" s="8">
        <v>125.79</v>
      </c>
      <c r="I392" s="9">
        <v>10</v>
      </c>
      <c r="J392" s="8">
        <v>226.42</v>
      </c>
      <c r="K392" s="8">
        <v>44.56</v>
      </c>
      <c r="L392" s="10" t="s">
        <v>17</v>
      </c>
    </row>
    <row r="393" spans="1:12" x14ac:dyDescent="0.3">
      <c r="A393" s="5" t="s">
        <v>798</v>
      </c>
      <c r="B393" s="6">
        <v>45559</v>
      </c>
      <c r="C393" s="7" t="s">
        <v>799</v>
      </c>
      <c r="D393" s="7" t="s">
        <v>42</v>
      </c>
      <c r="E393" s="7" t="s">
        <v>52</v>
      </c>
      <c r="F393" s="7" t="s">
        <v>39</v>
      </c>
      <c r="G393" s="7">
        <v>1</v>
      </c>
      <c r="H393" s="8">
        <v>49.92</v>
      </c>
      <c r="I393" s="9">
        <v>15</v>
      </c>
      <c r="J393" s="8">
        <v>42.43</v>
      </c>
      <c r="K393" s="8">
        <v>8.5</v>
      </c>
      <c r="L393" s="10" t="s">
        <v>17</v>
      </c>
    </row>
    <row r="394" spans="1:12" x14ac:dyDescent="0.3">
      <c r="A394" s="5" t="s">
        <v>800</v>
      </c>
      <c r="B394" s="6">
        <v>45619</v>
      </c>
      <c r="C394" s="7" t="s">
        <v>801</v>
      </c>
      <c r="D394" s="7" t="s">
        <v>20</v>
      </c>
      <c r="E394" s="7" t="s">
        <v>38</v>
      </c>
      <c r="F394" s="7" t="s">
        <v>39</v>
      </c>
      <c r="G394" s="7">
        <v>2</v>
      </c>
      <c r="H394" s="8">
        <v>48.89</v>
      </c>
      <c r="I394" s="9">
        <v>15</v>
      </c>
      <c r="J394" s="8">
        <v>83.11</v>
      </c>
      <c r="K394" s="8">
        <v>19.3</v>
      </c>
      <c r="L394" s="10" t="s">
        <v>34</v>
      </c>
    </row>
    <row r="395" spans="1:12" x14ac:dyDescent="0.3">
      <c r="A395" s="5" t="s">
        <v>802</v>
      </c>
      <c r="B395" s="6">
        <v>45727</v>
      </c>
      <c r="C395" s="7" t="s">
        <v>803</v>
      </c>
      <c r="D395" s="7" t="s">
        <v>26</v>
      </c>
      <c r="E395" s="7" t="s">
        <v>105</v>
      </c>
      <c r="F395" s="7" t="s">
        <v>39</v>
      </c>
      <c r="G395" s="7">
        <v>2</v>
      </c>
      <c r="H395" s="8">
        <v>16.329999999999998</v>
      </c>
      <c r="I395" s="9">
        <v>10</v>
      </c>
      <c r="J395" s="8">
        <v>29.39</v>
      </c>
      <c r="K395" s="8">
        <v>6.57</v>
      </c>
      <c r="L395" s="10" t="s">
        <v>17</v>
      </c>
    </row>
    <row r="396" spans="1:12" x14ac:dyDescent="0.3">
      <c r="A396" s="5" t="s">
        <v>804</v>
      </c>
      <c r="B396" s="6">
        <v>45630</v>
      </c>
      <c r="C396" s="7" t="s">
        <v>547</v>
      </c>
      <c r="D396" s="7" t="s">
        <v>37</v>
      </c>
      <c r="E396" s="7" t="s">
        <v>222</v>
      </c>
      <c r="F396" s="7" t="s">
        <v>22</v>
      </c>
      <c r="G396" s="7">
        <v>1</v>
      </c>
      <c r="H396" s="8">
        <v>21.55</v>
      </c>
      <c r="I396" s="9">
        <v>0</v>
      </c>
      <c r="J396" s="8">
        <v>21.55</v>
      </c>
      <c r="K396" s="8">
        <v>13.71</v>
      </c>
      <c r="L396" s="10" t="s">
        <v>23</v>
      </c>
    </row>
    <row r="397" spans="1:12" x14ac:dyDescent="0.3">
      <c r="A397" s="5" t="s">
        <v>805</v>
      </c>
      <c r="B397" s="6">
        <v>45986</v>
      </c>
      <c r="C397" s="7" t="s">
        <v>806</v>
      </c>
      <c r="D397" s="7" t="s">
        <v>26</v>
      </c>
      <c r="E397" s="7" t="s">
        <v>177</v>
      </c>
      <c r="F397" s="7" t="s">
        <v>49</v>
      </c>
      <c r="G397" s="7">
        <v>1</v>
      </c>
      <c r="H397" s="8">
        <v>40.14</v>
      </c>
      <c r="I397" s="9">
        <v>0</v>
      </c>
      <c r="J397" s="8">
        <v>40.14</v>
      </c>
      <c r="K397" s="8">
        <v>14.65</v>
      </c>
      <c r="L397" s="10" t="s">
        <v>17</v>
      </c>
    </row>
    <row r="398" spans="1:12" x14ac:dyDescent="0.3">
      <c r="A398" s="5" t="s">
        <v>807</v>
      </c>
      <c r="B398" s="6">
        <v>45936</v>
      </c>
      <c r="C398" s="7" t="s">
        <v>457</v>
      </c>
      <c r="D398" s="7" t="s">
        <v>20</v>
      </c>
      <c r="E398" s="7" t="s">
        <v>30</v>
      </c>
      <c r="F398" s="7" t="s">
        <v>16</v>
      </c>
      <c r="G398" s="7">
        <v>3</v>
      </c>
      <c r="H398" s="8">
        <v>25.01</v>
      </c>
      <c r="I398" s="9">
        <v>10</v>
      </c>
      <c r="J398" s="8">
        <v>67.53</v>
      </c>
      <c r="K398" s="8">
        <v>5.62</v>
      </c>
      <c r="L398" s="10" t="s">
        <v>17</v>
      </c>
    </row>
    <row r="399" spans="1:12" x14ac:dyDescent="0.3">
      <c r="A399" s="5" t="s">
        <v>808</v>
      </c>
      <c r="B399" s="6">
        <v>45440</v>
      </c>
      <c r="C399" s="7" t="s">
        <v>318</v>
      </c>
      <c r="D399" s="7" t="s">
        <v>14</v>
      </c>
      <c r="E399" s="7" t="s">
        <v>133</v>
      </c>
      <c r="F399" s="7" t="s">
        <v>75</v>
      </c>
      <c r="G399" s="7">
        <v>1</v>
      </c>
      <c r="H399" s="8">
        <v>45.87</v>
      </c>
      <c r="I399" s="9">
        <v>15</v>
      </c>
      <c r="J399" s="8">
        <v>38.99</v>
      </c>
      <c r="K399" s="8">
        <v>12.7</v>
      </c>
      <c r="L399" s="10" t="s">
        <v>23</v>
      </c>
    </row>
    <row r="400" spans="1:12" x14ac:dyDescent="0.3">
      <c r="A400" s="5" t="s">
        <v>809</v>
      </c>
      <c r="B400" s="6">
        <v>45753</v>
      </c>
      <c r="C400" s="7" t="s">
        <v>810</v>
      </c>
      <c r="D400" s="7" t="s">
        <v>14</v>
      </c>
      <c r="E400" s="7" t="s">
        <v>232</v>
      </c>
      <c r="F400" s="7" t="s">
        <v>22</v>
      </c>
      <c r="G400" s="7">
        <v>1</v>
      </c>
      <c r="H400" s="8">
        <v>38.82</v>
      </c>
      <c r="I400" s="9">
        <v>0</v>
      </c>
      <c r="J400" s="8">
        <v>38.82</v>
      </c>
      <c r="K400" s="8">
        <v>20.39</v>
      </c>
      <c r="L400" s="10" t="s">
        <v>34</v>
      </c>
    </row>
    <row r="401" spans="1:12" x14ac:dyDescent="0.3">
      <c r="A401" s="5" t="s">
        <v>811</v>
      </c>
      <c r="B401" s="6">
        <v>45636</v>
      </c>
      <c r="C401" s="7" t="s">
        <v>812</v>
      </c>
      <c r="D401" s="7" t="s">
        <v>42</v>
      </c>
      <c r="E401" s="7" t="s">
        <v>64</v>
      </c>
      <c r="F401" s="7" t="s">
        <v>16</v>
      </c>
      <c r="G401" s="7">
        <v>1</v>
      </c>
      <c r="H401" s="8">
        <v>90.33</v>
      </c>
      <c r="I401" s="9">
        <v>0</v>
      </c>
      <c r="J401" s="8">
        <v>90.33</v>
      </c>
      <c r="K401" s="8">
        <v>20.309999999999999</v>
      </c>
      <c r="L401" s="10" t="s">
        <v>23</v>
      </c>
    </row>
    <row r="402" spans="1:12" x14ac:dyDescent="0.3">
      <c r="A402" s="5" t="s">
        <v>813</v>
      </c>
      <c r="B402" s="6">
        <v>45448</v>
      </c>
      <c r="C402" s="7" t="s">
        <v>814</v>
      </c>
      <c r="D402" s="7" t="s">
        <v>20</v>
      </c>
      <c r="E402" s="7" t="s">
        <v>269</v>
      </c>
      <c r="F402" s="7" t="s">
        <v>75</v>
      </c>
      <c r="G402" s="7">
        <v>1</v>
      </c>
      <c r="H402" s="8">
        <v>32.49</v>
      </c>
      <c r="I402" s="9">
        <v>0</v>
      </c>
      <c r="J402" s="8">
        <v>32.49</v>
      </c>
      <c r="K402" s="8">
        <v>10.55</v>
      </c>
      <c r="L402" s="10" t="s">
        <v>34</v>
      </c>
    </row>
    <row r="403" spans="1:12" x14ac:dyDescent="0.3">
      <c r="A403" s="5" t="s">
        <v>815</v>
      </c>
      <c r="B403" s="6">
        <v>45782</v>
      </c>
      <c r="C403" s="7" t="s">
        <v>584</v>
      </c>
      <c r="D403" s="7" t="s">
        <v>37</v>
      </c>
      <c r="E403" s="7" t="s">
        <v>148</v>
      </c>
      <c r="F403" s="7" t="s">
        <v>16</v>
      </c>
      <c r="G403" s="7">
        <v>2</v>
      </c>
      <c r="H403" s="8">
        <v>77.89</v>
      </c>
      <c r="I403" s="9">
        <v>15</v>
      </c>
      <c r="J403" s="8">
        <v>132.41</v>
      </c>
      <c r="K403" s="8">
        <v>15.69</v>
      </c>
      <c r="L403" s="10" t="s">
        <v>17</v>
      </c>
    </row>
    <row r="404" spans="1:12" x14ac:dyDescent="0.3">
      <c r="A404" s="5" t="s">
        <v>816</v>
      </c>
      <c r="B404" s="6">
        <v>45397</v>
      </c>
      <c r="C404" s="7" t="s">
        <v>817</v>
      </c>
      <c r="D404" s="7" t="s">
        <v>14</v>
      </c>
      <c r="E404" s="7" t="s">
        <v>83</v>
      </c>
      <c r="F404" s="7" t="s">
        <v>22</v>
      </c>
      <c r="G404" s="7">
        <v>1</v>
      </c>
      <c r="H404" s="8">
        <v>31.32</v>
      </c>
      <c r="I404" s="9">
        <v>15</v>
      </c>
      <c r="J404" s="8">
        <v>26.62</v>
      </c>
      <c r="K404" s="8">
        <v>16.77</v>
      </c>
      <c r="L404" s="10" t="s">
        <v>34</v>
      </c>
    </row>
    <row r="405" spans="1:12" x14ac:dyDescent="0.3">
      <c r="A405" s="5" t="s">
        <v>818</v>
      </c>
      <c r="B405" s="6">
        <v>45338</v>
      </c>
      <c r="C405" s="7" t="s">
        <v>318</v>
      </c>
      <c r="D405" s="7" t="s">
        <v>42</v>
      </c>
      <c r="E405" s="7" t="s">
        <v>43</v>
      </c>
      <c r="F405" s="7" t="s">
        <v>22</v>
      </c>
      <c r="G405" s="7">
        <v>2</v>
      </c>
      <c r="H405" s="8">
        <v>22.24</v>
      </c>
      <c r="I405" s="9">
        <v>0</v>
      </c>
      <c r="J405" s="8">
        <v>44.48</v>
      </c>
      <c r="K405" s="8">
        <v>22.37</v>
      </c>
      <c r="L405" s="10" t="s">
        <v>17</v>
      </c>
    </row>
    <row r="406" spans="1:12" x14ac:dyDescent="0.3">
      <c r="A406" s="5" t="s">
        <v>819</v>
      </c>
      <c r="B406" s="6">
        <v>45299</v>
      </c>
      <c r="C406" s="7" t="s">
        <v>820</v>
      </c>
      <c r="D406" s="7" t="s">
        <v>26</v>
      </c>
      <c r="E406" s="7" t="s">
        <v>291</v>
      </c>
      <c r="F406" s="7" t="s">
        <v>22</v>
      </c>
      <c r="G406" s="7">
        <v>1</v>
      </c>
      <c r="H406" s="8">
        <v>22.47</v>
      </c>
      <c r="I406" s="9">
        <v>5</v>
      </c>
      <c r="J406" s="8">
        <v>21.35</v>
      </c>
      <c r="K406" s="8">
        <v>12.98</v>
      </c>
      <c r="L406" s="10" t="s">
        <v>17</v>
      </c>
    </row>
    <row r="407" spans="1:12" x14ac:dyDescent="0.3">
      <c r="A407" s="5" t="s">
        <v>821</v>
      </c>
      <c r="B407" s="6">
        <v>45626</v>
      </c>
      <c r="C407" s="7" t="s">
        <v>822</v>
      </c>
      <c r="D407" s="7" t="s">
        <v>37</v>
      </c>
      <c r="E407" s="7" t="s">
        <v>21</v>
      </c>
      <c r="F407" s="7" t="s">
        <v>22</v>
      </c>
      <c r="G407" s="7">
        <v>2</v>
      </c>
      <c r="H407" s="8">
        <v>48.7</v>
      </c>
      <c r="I407" s="9">
        <v>0</v>
      </c>
      <c r="J407" s="8">
        <v>97.4</v>
      </c>
      <c r="K407" s="8">
        <v>41.83</v>
      </c>
      <c r="L407" s="10" t="s">
        <v>23</v>
      </c>
    </row>
    <row r="408" spans="1:12" x14ac:dyDescent="0.3">
      <c r="A408" s="5" t="s">
        <v>823</v>
      </c>
      <c r="B408" s="6">
        <v>45624</v>
      </c>
      <c r="C408" s="7" t="s">
        <v>824</v>
      </c>
      <c r="D408" s="7" t="s">
        <v>42</v>
      </c>
      <c r="E408" s="7" t="s">
        <v>21</v>
      </c>
      <c r="F408" s="7" t="s">
        <v>22</v>
      </c>
      <c r="G408" s="7">
        <v>2</v>
      </c>
      <c r="H408" s="8">
        <v>44.74</v>
      </c>
      <c r="I408" s="9">
        <v>10</v>
      </c>
      <c r="J408" s="8">
        <v>80.53</v>
      </c>
      <c r="K408" s="8">
        <v>33.020000000000003</v>
      </c>
      <c r="L408" s="10" t="s">
        <v>17</v>
      </c>
    </row>
    <row r="409" spans="1:12" x14ac:dyDescent="0.3">
      <c r="A409" s="5" t="s">
        <v>825</v>
      </c>
      <c r="B409" s="6">
        <v>45785</v>
      </c>
      <c r="C409" s="7" t="s">
        <v>531</v>
      </c>
      <c r="D409" s="7" t="s">
        <v>42</v>
      </c>
      <c r="E409" s="7" t="s">
        <v>154</v>
      </c>
      <c r="F409" s="7" t="s">
        <v>39</v>
      </c>
      <c r="G409" s="7">
        <v>2</v>
      </c>
      <c r="H409" s="8">
        <v>21.41</v>
      </c>
      <c r="I409" s="9">
        <v>5</v>
      </c>
      <c r="J409" s="8">
        <v>40.68</v>
      </c>
      <c r="K409" s="8">
        <v>9.35</v>
      </c>
      <c r="L409" s="10" t="s">
        <v>17</v>
      </c>
    </row>
    <row r="410" spans="1:12" x14ac:dyDescent="0.3">
      <c r="A410" s="5" t="s">
        <v>826</v>
      </c>
      <c r="B410" s="6">
        <v>45917</v>
      </c>
      <c r="C410" s="7" t="s">
        <v>647</v>
      </c>
      <c r="D410" s="7" t="s">
        <v>14</v>
      </c>
      <c r="E410" s="7" t="s">
        <v>43</v>
      </c>
      <c r="F410" s="7" t="s">
        <v>22</v>
      </c>
      <c r="G410" s="7">
        <v>2</v>
      </c>
      <c r="H410" s="8">
        <v>23.62</v>
      </c>
      <c r="I410" s="9">
        <v>10</v>
      </c>
      <c r="J410" s="8">
        <v>42.52</v>
      </c>
      <c r="K410" s="8">
        <v>27.61</v>
      </c>
      <c r="L410" s="10" t="s">
        <v>17</v>
      </c>
    </row>
    <row r="411" spans="1:12" x14ac:dyDescent="0.3">
      <c r="A411" s="5" t="s">
        <v>827</v>
      </c>
      <c r="B411" s="6">
        <v>46020</v>
      </c>
      <c r="C411" s="7" t="s">
        <v>828</v>
      </c>
      <c r="D411" s="7" t="s">
        <v>42</v>
      </c>
      <c r="E411" s="7" t="s">
        <v>148</v>
      </c>
      <c r="F411" s="7" t="s">
        <v>16</v>
      </c>
      <c r="G411" s="7">
        <v>2</v>
      </c>
      <c r="H411" s="8">
        <v>102.04</v>
      </c>
      <c r="I411" s="9">
        <v>0</v>
      </c>
      <c r="J411" s="8">
        <v>204.08</v>
      </c>
      <c r="K411" s="8">
        <v>32.79</v>
      </c>
      <c r="L411" s="10" t="s">
        <v>17</v>
      </c>
    </row>
    <row r="412" spans="1:12" x14ac:dyDescent="0.3">
      <c r="A412" s="5" t="s">
        <v>829</v>
      </c>
      <c r="B412" s="6">
        <v>45363</v>
      </c>
      <c r="C412" s="7" t="s">
        <v>639</v>
      </c>
      <c r="D412" s="7" t="s">
        <v>42</v>
      </c>
      <c r="E412" s="7" t="s">
        <v>187</v>
      </c>
      <c r="F412" s="7" t="s">
        <v>75</v>
      </c>
      <c r="G412" s="7">
        <v>3</v>
      </c>
      <c r="H412" s="8">
        <v>54.12</v>
      </c>
      <c r="I412" s="9">
        <v>0</v>
      </c>
      <c r="J412" s="8">
        <v>162.36000000000001</v>
      </c>
      <c r="K412" s="8">
        <v>43.74</v>
      </c>
      <c r="L412" s="10" t="s">
        <v>23</v>
      </c>
    </row>
    <row r="413" spans="1:12" x14ac:dyDescent="0.3">
      <c r="A413" s="5" t="s">
        <v>830</v>
      </c>
      <c r="B413" s="6">
        <v>45892</v>
      </c>
      <c r="C413" s="7" t="s">
        <v>831</v>
      </c>
      <c r="D413" s="7" t="s">
        <v>37</v>
      </c>
      <c r="E413" s="7" t="s">
        <v>21</v>
      </c>
      <c r="F413" s="7" t="s">
        <v>22</v>
      </c>
      <c r="G413" s="7">
        <v>2</v>
      </c>
      <c r="H413" s="8">
        <v>8.18</v>
      </c>
      <c r="I413" s="9">
        <v>10</v>
      </c>
      <c r="J413" s="8">
        <v>14.72</v>
      </c>
      <c r="K413" s="8">
        <v>7.34</v>
      </c>
      <c r="L413" s="10" t="s">
        <v>17</v>
      </c>
    </row>
    <row r="414" spans="1:12" x14ac:dyDescent="0.3">
      <c r="A414" s="5" t="s">
        <v>832</v>
      </c>
      <c r="B414" s="6">
        <v>45714</v>
      </c>
      <c r="C414" s="7" t="s">
        <v>833</v>
      </c>
      <c r="D414" s="7" t="s">
        <v>42</v>
      </c>
      <c r="E414" s="7" t="s">
        <v>556</v>
      </c>
      <c r="F414" s="7" t="s">
        <v>49</v>
      </c>
      <c r="G414" s="7">
        <v>1</v>
      </c>
      <c r="H414" s="8">
        <v>83.69</v>
      </c>
      <c r="I414" s="9">
        <v>15</v>
      </c>
      <c r="J414" s="8">
        <v>71.14</v>
      </c>
      <c r="K414" s="8">
        <v>27.94</v>
      </c>
      <c r="L414" s="10" t="s">
        <v>17</v>
      </c>
    </row>
    <row r="415" spans="1:12" x14ac:dyDescent="0.3">
      <c r="A415" s="5" t="s">
        <v>834</v>
      </c>
      <c r="B415" s="6">
        <v>45961</v>
      </c>
      <c r="C415" s="7" t="s">
        <v>51</v>
      </c>
      <c r="D415" s="7" t="s">
        <v>20</v>
      </c>
      <c r="E415" s="7" t="s">
        <v>556</v>
      </c>
      <c r="F415" s="7" t="s">
        <v>49</v>
      </c>
      <c r="G415" s="7">
        <v>2</v>
      </c>
      <c r="H415" s="8">
        <v>22.08</v>
      </c>
      <c r="I415" s="9">
        <v>0</v>
      </c>
      <c r="J415" s="8">
        <v>44.16</v>
      </c>
      <c r="K415" s="8">
        <v>14.46</v>
      </c>
      <c r="L415" s="10" t="s">
        <v>17</v>
      </c>
    </row>
    <row r="416" spans="1:12" x14ac:dyDescent="0.3">
      <c r="A416" s="5" t="s">
        <v>835</v>
      </c>
      <c r="B416" s="6">
        <v>45954</v>
      </c>
      <c r="C416" s="7" t="s">
        <v>836</v>
      </c>
      <c r="D416" s="7" t="s">
        <v>20</v>
      </c>
      <c r="E416" s="7" t="s">
        <v>291</v>
      </c>
      <c r="F416" s="7" t="s">
        <v>22</v>
      </c>
      <c r="G416" s="7">
        <v>5</v>
      </c>
      <c r="H416" s="8">
        <v>19.52</v>
      </c>
      <c r="I416" s="9">
        <v>0</v>
      </c>
      <c r="J416" s="8">
        <v>97.6</v>
      </c>
      <c r="K416" s="8">
        <v>49</v>
      </c>
      <c r="L416" s="10" t="s">
        <v>17</v>
      </c>
    </row>
    <row r="417" spans="1:12" x14ac:dyDescent="0.3">
      <c r="A417" s="5" t="s">
        <v>837</v>
      </c>
      <c r="B417" s="6">
        <v>46007</v>
      </c>
      <c r="C417" s="7" t="s">
        <v>838</v>
      </c>
      <c r="D417" s="7" t="s">
        <v>14</v>
      </c>
      <c r="E417" s="7" t="s">
        <v>64</v>
      </c>
      <c r="F417" s="7" t="s">
        <v>16</v>
      </c>
      <c r="G417" s="7">
        <v>1</v>
      </c>
      <c r="H417" s="8">
        <v>67.91</v>
      </c>
      <c r="I417" s="9">
        <v>5</v>
      </c>
      <c r="J417" s="8">
        <v>64.510000000000005</v>
      </c>
      <c r="K417" s="8">
        <v>5.68</v>
      </c>
      <c r="L417" s="10" t="s">
        <v>17</v>
      </c>
    </row>
    <row r="418" spans="1:12" x14ac:dyDescent="0.3">
      <c r="A418" s="5" t="s">
        <v>839</v>
      </c>
      <c r="B418" s="6">
        <v>46009</v>
      </c>
      <c r="C418" s="7" t="s">
        <v>840</v>
      </c>
      <c r="D418" s="7" t="s">
        <v>14</v>
      </c>
      <c r="E418" s="7" t="s">
        <v>15</v>
      </c>
      <c r="F418" s="7" t="s">
        <v>16</v>
      </c>
      <c r="G418" s="7">
        <v>2</v>
      </c>
      <c r="H418" s="8">
        <v>84.53</v>
      </c>
      <c r="I418" s="9">
        <v>5</v>
      </c>
      <c r="J418" s="8">
        <v>160.61000000000001</v>
      </c>
      <c r="K418" s="8">
        <v>20.65</v>
      </c>
      <c r="L418" s="10" t="s">
        <v>17</v>
      </c>
    </row>
    <row r="419" spans="1:12" x14ac:dyDescent="0.3">
      <c r="A419" s="5" t="s">
        <v>841</v>
      </c>
      <c r="B419" s="6">
        <v>45394</v>
      </c>
      <c r="C419" s="7" t="s">
        <v>842</v>
      </c>
      <c r="D419" s="7" t="s">
        <v>37</v>
      </c>
      <c r="E419" s="7" t="s">
        <v>21</v>
      </c>
      <c r="F419" s="7" t="s">
        <v>22</v>
      </c>
      <c r="G419" s="7">
        <v>1</v>
      </c>
      <c r="H419" s="8">
        <v>35.85</v>
      </c>
      <c r="I419" s="9">
        <v>15</v>
      </c>
      <c r="J419" s="8">
        <v>30.47</v>
      </c>
      <c r="K419" s="8">
        <v>17.28</v>
      </c>
      <c r="L419" s="10" t="s">
        <v>17</v>
      </c>
    </row>
    <row r="420" spans="1:12" x14ac:dyDescent="0.3">
      <c r="A420" s="5" t="s">
        <v>843</v>
      </c>
      <c r="B420" s="6">
        <v>45405</v>
      </c>
      <c r="C420" s="7" t="s">
        <v>844</v>
      </c>
      <c r="D420" s="7" t="s">
        <v>42</v>
      </c>
      <c r="E420" s="7" t="s">
        <v>94</v>
      </c>
      <c r="F420" s="7" t="s">
        <v>75</v>
      </c>
      <c r="G420" s="7">
        <v>2</v>
      </c>
      <c r="H420" s="8">
        <v>46.56</v>
      </c>
      <c r="I420" s="9">
        <v>10</v>
      </c>
      <c r="J420" s="8">
        <v>83.81</v>
      </c>
      <c r="K420" s="8">
        <v>14.41</v>
      </c>
      <c r="L420" s="10" t="s">
        <v>17</v>
      </c>
    </row>
    <row r="421" spans="1:12" x14ac:dyDescent="0.3">
      <c r="A421" s="5" t="s">
        <v>845</v>
      </c>
      <c r="B421" s="6">
        <v>45865</v>
      </c>
      <c r="C421" s="7" t="s">
        <v>846</v>
      </c>
      <c r="D421" s="7" t="s">
        <v>26</v>
      </c>
      <c r="E421" s="7" t="s">
        <v>222</v>
      </c>
      <c r="F421" s="7" t="s">
        <v>22</v>
      </c>
      <c r="G421" s="7">
        <v>1</v>
      </c>
      <c r="H421" s="8">
        <v>33.229999999999997</v>
      </c>
      <c r="I421" s="9">
        <v>0</v>
      </c>
      <c r="J421" s="8">
        <v>33.229999999999997</v>
      </c>
      <c r="K421" s="8">
        <v>19.399999999999999</v>
      </c>
      <c r="L421" s="10" t="s">
        <v>17</v>
      </c>
    </row>
    <row r="422" spans="1:12" x14ac:dyDescent="0.3">
      <c r="A422" s="5" t="s">
        <v>847</v>
      </c>
      <c r="B422" s="6">
        <v>45768</v>
      </c>
      <c r="C422" s="7" t="s">
        <v>848</v>
      </c>
      <c r="D422" s="7" t="s">
        <v>42</v>
      </c>
      <c r="E422" s="7" t="s">
        <v>269</v>
      </c>
      <c r="F422" s="7" t="s">
        <v>75</v>
      </c>
      <c r="G422" s="7">
        <v>1</v>
      </c>
      <c r="H422" s="8">
        <v>57.96</v>
      </c>
      <c r="I422" s="9">
        <v>0</v>
      </c>
      <c r="J422" s="8">
        <v>57.96</v>
      </c>
      <c r="K422" s="8">
        <v>17.96</v>
      </c>
      <c r="L422" s="10" t="s">
        <v>23</v>
      </c>
    </row>
    <row r="423" spans="1:12" x14ac:dyDescent="0.3">
      <c r="A423" s="5" t="s">
        <v>849</v>
      </c>
      <c r="B423" s="6">
        <v>45679</v>
      </c>
      <c r="C423" s="7" t="s">
        <v>850</v>
      </c>
      <c r="D423" s="7" t="s">
        <v>26</v>
      </c>
      <c r="E423" s="7" t="s">
        <v>111</v>
      </c>
      <c r="F423" s="7" t="s">
        <v>49</v>
      </c>
      <c r="G423" s="7">
        <v>3</v>
      </c>
      <c r="H423" s="8">
        <v>76.22</v>
      </c>
      <c r="I423" s="9">
        <v>10</v>
      </c>
      <c r="J423" s="8">
        <v>205.79</v>
      </c>
      <c r="K423" s="8">
        <v>100.29</v>
      </c>
      <c r="L423" s="10" t="s">
        <v>23</v>
      </c>
    </row>
    <row r="424" spans="1:12" x14ac:dyDescent="0.3">
      <c r="A424" s="5" t="s">
        <v>851</v>
      </c>
      <c r="B424" s="6">
        <v>45413</v>
      </c>
      <c r="C424" s="7" t="s">
        <v>852</v>
      </c>
      <c r="D424" s="7" t="s">
        <v>26</v>
      </c>
      <c r="E424" s="7" t="s">
        <v>88</v>
      </c>
      <c r="F424" s="7" t="s">
        <v>22</v>
      </c>
      <c r="G424" s="7">
        <v>3</v>
      </c>
      <c r="H424" s="8">
        <v>27.12</v>
      </c>
      <c r="I424" s="9">
        <v>0</v>
      </c>
      <c r="J424" s="8">
        <v>81.36</v>
      </c>
      <c r="K424" s="8">
        <v>41.37</v>
      </c>
      <c r="L424" s="10" t="s">
        <v>17</v>
      </c>
    </row>
    <row r="425" spans="1:12" x14ac:dyDescent="0.3">
      <c r="A425" s="5" t="s">
        <v>853</v>
      </c>
      <c r="B425" s="6">
        <v>45857</v>
      </c>
      <c r="C425" s="7" t="s">
        <v>132</v>
      </c>
      <c r="D425" s="7" t="s">
        <v>42</v>
      </c>
      <c r="E425" s="7" t="s">
        <v>187</v>
      </c>
      <c r="F425" s="7" t="s">
        <v>75</v>
      </c>
      <c r="G425" s="7">
        <v>5</v>
      </c>
      <c r="H425" s="8">
        <v>53.24</v>
      </c>
      <c r="I425" s="9">
        <v>20</v>
      </c>
      <c r="J425" s="8">
        <v>212.96</v>
      </c>
      <c r="K425" s="8">
        <v>47.97</v>
      </c>
      <c r="L425" s="10" t="s">
        <v>23</v>
      </c>
    </row>
    <row r="426" spans="1:12" x14ac:dyDescent="0.3">
      <c r="A426" s="5" t="s">
        <v>854</v>
      </c>
      <c r="B426" s="6">
        <v>45479</v>
      </c>
      <c r="C426" s="7" t="s">
        <v>855</v>
      </c>
      <c r="D426" s="7" t="s">
        <v>20</v>
      </c>
      <c r="E426" s="7" t="s">
        <v>94</v>
      </c>
      <c r="F426" s="7" t="s">
        <v>75</v>
      </c>
      <c r="G426" s="7">
        <v>4</v>
      </c>
      <c r="H426" s="8">
        <v>10.15</v>
      </c>
      <c r="I426" s="9">
        <v>10</v>
      </c>
      <c r="J426" s="8">
        <v>36.54</v>
      </c>
      <c r="K426" s="8">
        <v>9.36</v>
      </c>
      <c r="L426" s="10" t="s">
        <v>23</v>
      </c>
    </row>
    <row r="427" spans="1:12" x14ac:dyDescent="0.3">
      <c r="A427" s="5" t="s">
        <v>856</v>
      </c>
      <c r="B427" s="6">
        <v>45627</v>
      </c>
      <c r="C427" s="7" t="s">
        <v>857</v>
      </c>
      <c r="D427" s="7" t="s">
        <v>20</v>
      </c>
      <c r="E427" s="7" t="s">
        <v>556</v>
      </c>
      <c r="F427" s="7" t="s">
        <v>49</v>
      </c>
      <c r="G427" s="7">
        <v>2</v>
      </c>
      <c r="H427" s="8">
        <v>80.599999999999994</v>
      </c>
      <c r="I427" s="9">
        <v>0</v>
      </c>
      <c r="J427" s="8">
        <v>161.19999999999999</v>
      </c>
      <c r="K427" s="8">
        <v>85.53</v>
      </c>
      <c r="L427" s="10" t="s">
        <v>17</v>
      </c>
    </row>
    <row r="428" spans="1:12" x14ac:dyDescent="0.3">
      <c r="A428" s="5" t="s">
        <v>858</v>
      </c>
      <c r="B428" s="6">
        <v>45308</v>
      </c>
      <c r="C428" s="7" t="s">
        <v>859</v>
      </c>
      <c r="D428" s="7" t="s">
        <v>20</v>
      </c>
      <c r="E428" s="7" t="s">
        <v>30</v>
      </c>
      <c r="F428" s="7" t="s">
        <v>16</v>
      </c>
      <c r="G428" s="7">
        <v>1</v>
      </c>
      <c r="H428" s="8">
        <v>139.68</v>
      </c>
      <c r="I428" s="9">
        <v>0</v>
      </c>
      <c r="J428" s="8">
        <v>139.68</v>
      </c>
      <c r="K428" s="8">
        <v>28.79</v>
      </c>
      <c r="L428" s="10" t="s">
        <v>17</v>
      </c>
    </row>
    <row r="429" spans="1:12" x14ac:dyDescent="0.3">
      <c r="A429" s="5" t="s">
        <v>860</v>
      </c>
      <c r="B429" s="6">
        <v>45590</v>
      </c>
      <c r="C429" s="7" t="s">
        <v>861</v>
      </c>
      <c r="D429" s="7" t="s">
        <v>14</v>
      </c>
      <c r="E429" s="7" t="s">
        <v>21</v>
      </c>
      <c r="F429" s="7" t="s">
        <v>22</v>
      </c>
      <c r="G429" s="7">
        <v>4</v>
      </c>
      <c r="H429" s="8">
        <v>47.81</v>
      </c>
      <c r="I429" s="9">
        <v>0</v>
      </c>
      <c r="J429" s="8">
        <v>191.24</v>
      </c>
      <c r="K429" s="8">
        <v>85.8</v>
      </c>
      <c r="L429" s="10" t="s">
        <v>23</v>
      </c>
    </row>
    <row r="430" spans="1:12" x14ac:dyDescent="0.3">
      <c r="A430" s="5" t="s">
        <v>862</v>
      </c>
      <c r="B430" s="6">
        <v>45924</v>
      </c>
      <c r="C430" s="7" t="s">
        <v>863</v>
      </c>
      <c r="D430" s="7" t="s">
        <v>42</v>
      </c>
      <c r="E430" s="7" t="s">
        <v>187</v>
      </c>
      <c r="F430" s="7" t="s">
        <v>75</v>
      </c>
      <c r="G430" s="7">
        <v>3</v>
      </c>
      <c r="H430" s="8">
        <v>32.340000000000003</v>
      </c>
      <c r="I430" s="9">
        <v>10</v>
      </c>
      <c r="J430" s="8">
        <v>87.32</v>
      </c>
      <c r="K430" s="8">
        <v>15.17</v>
      </c>
      <c r="L430" s="10" t="s">
        <v>23</v>
      </c>
    </row>
    <row r="431" spans="1:12" x14ac:dyDescent="0.3">
      <c r="A431" s="5" t="s">
        <v>864</v>
      </c>
      <c r="B431" s="6">
        <v>45590</v>
      </c>
      <c r="C431" s="7" t="s">
        <v>690</v>
      </c>
      <c r="D431" s="7" t="s">
        <v>14</v>
      </c>
      <c r="E431" s="7" t="s">
        <v>502</v>
      </c>
      <c r="F431" s="7" t="s">
        <v>22</v>
      </c>
      <c r="G431" s="7">
        <v>1</v>
      </c>
      <c r="H431" s="8">
        <v>38.909999999999997</v>
      </c>
      <c r="I431" s="9">
        <v>0</v>
      </c>
      <c r="J431" s="8">
        <v>38.909999999999997</v>
      </c>
      <c r="K431" s="8">
        <v>25.28</v>
      </c>
      <c r="L431" s="10" t="s">
        <v>23</v>
      </c>
    </row>
    <row r="432" spans="1:12" x14ac:dyDescent="0.3">
      <c r="A432" s="5" t="s">
        <v>865</v>
      </c>
      <c r="B432" s="6">
        <v>45620</v>
      </c>
      <c r="C432" s="7" t="s">
        <v>866</v>
      </c>
      <c r="D432" s="7" t="s">
        <v>37</v>
      </c>
      <c r="E432" s="7" t="s">
        <v>118</v>
      </c>
      <c r="F432" s="7" t="s">
        <v>49</v>
      </c>
      <c r="G432" s="7">
        <v>1</v>
      </c>
      <c r="H432" s="8">
        <v>62.84</v>
      </c>
      <c r="I432" s="9">
        <v>20</v>
      </c>
      <c r="J432" s="8">
        <v>50.27</v>
      </c>
      <c r="K432" s="8">
        <v>21.42</v>
      </c>
      <c r="L432" s="10" t="s">
        <v>23</v>
      </c>
    </row>
    <row r="433" spans="1:12" x14ac:dyDescent="0.3">
      <c r="A433" s="5" t="s">
        <v>867</v>
      </c>
      <c r="B433" s="6">
        <v>45562</v>
      </c>
      <c r="C433" s="7" t="s">
        <v>868</v>
      </c>
      <c r="D433" s="7" t="s">
        <v>20</v>
      </c>
      <c r="E433" s="7" t="s">
        <v>74</v>
      </c>
      <c r="F433" s="7" t="s">
        <v>75</v>
      </c>
      <c r="G433" s="7">
        <v>1</v>
      </c>
      <c r="H433" s="8">
        <v>56.55</v>
      </c>
      <c r="I433" s="9">
        <v>5</v>
      </c>
      <c r="J433" s="8">
        <v>53.72</v>
      </c>
      <c r="K433" s="8">
        <v>8.81</v>
      </c>
      <c r="L433" s="10" t="s">
        <v>17</v>
      </c>
    </row>
    <row r="434" spans="1:12" x14ac:dyDescent="0.3">
      <c r="A434" s="5" t="s">
        <v>869</v>
      </c>
      <c r="B434" s="6">
        <v>45327</v>
      </c>
      <c r="C434" s="7" t="s">
        <v>647</v>
      </c>
      <c r="D434" s="7" t="s">
        <v>42</v>
      </c>
      <c r="E434" s="7" t="s">
        <v>55</v>
      </c>
      <c r="F434" s="7" t="s">
        <v>16</v>
      </c>
      <c r="G434" s="7">
        <v>3</v>
      </c>
      <c r="H434" s="8">
        <v>116.21</v>
      </c>
      <c r="I434" s="9">
        <v>0</v>
      </c>
      <c r="J434" s="8">
        <v>348.63</v>
      </c>
      <c r="K434" s="8">
        <v>35.26</v>
      </c>
      <c r="L434" s="10" t="s">
        <v>17</v>
      </c>
    </row>
    <row r="435" spans="1:12" x14ac:dyDescent="0.3">
      <c r="A435" s="5" t="s">
        <v>870</v>
      </c>
      <c r="B435" s="6">
        <v>45345</v>
      </c>
      <c r="C435" s="7" t="s">
        <v>871</v>
      </c>
      <c r="D435" s="7" t="s">
        <v>26</v>
      </c>
      <c r="E435" s="7" t="s">
        <v>232</v>
      </c>
      <c r="F435" s="7" t="s">
        <v>22</v>
      </c>
      <c r="G435" s="7">
        <v>1</v>
      </c>
      <c r="H435" s="8">
        <v>35</v>
      </c>
      <c r="I435" s="9">
        <v>5</v>
      </c>
      <c r="J435" s="8">
        <v>33.25</v>
      </c>
      <c r="K435" s="8">
        <v>15.19</v>
      </c>
      <c r="L435" s="10" t="s">
        <v>23</v>
      </c>
    </row>
    <row r="436" spans="1:12" x14ac:dyDescent="0.3">
      <c r="A436" s="5" t="s">
        <v>872</v>
      </c>
      <c r="B436" s="6">
        <v>45677</v>
      </c>
      <c r="C436" s="7" t="s">
        <v>693</v>
      </c>
      <c r="D436" s="7" t="s">
        <v>37</v>
      </c>
      <c r="E436" s="7" t="s">
        <v>27</v>
      </c>
      <c r="F436" s="7" t="s">
        <v>22</v>
      </c>
      <c r="G436" s="7">
        <v>2</v>
      </c>
      <c r="H436" s="8">
        <v>15.43</v>
      </c>
      <c r="I436" s="9">
        <v>5</v>
      </c>
      <c r="J436" s="8">
        <v>29.32</v>
      </c>
      <c r="K436" s="8">
        <v>18.399999999999999</v>
      </c>
      <c r="L436" s="10" t="s">
        <v>17</v>
      </c>
    </row>
    <row r="437" spans="1:12" x14ac:dyDescent="0.3">
      <c r="A437" s="5" t="s">
        <v>873</v>
      </c>
      <c r="B437" s="6">
        <v>45932</v>
      </c>
      <c r="C437" s="7" t="s">
        <v>874</v>
      </c>
      <c r="D437" s="7" t="s">
        <v>42</v>
      </c>
      <c r="E437" s="7" t="s">
        <v>151</v>
      </c>
      <c r="F437" s="7" t="s">
        <v>39</v>
      </c>
      <c r="G437" s="7">
        <v>2</v>
      </c>
      <c r="H437" s="8">
        <v>51.54</v>
      </c>
      <c r="I437" s="9">
        <v>0</v>
      </c>
      <c r="J437" s="8">
        <v>103.08</v>
      </c>
      <c r="K437" s="8">
        <v>32.86</v>
      </c>
      <c r="L437" s="10" t="s">
        <v>23</v>
      </c>
    </row>
    <row r="438" spans="1:12" x14ac:dyDescent="0.3">
      <c r="A438" s="5" t="s">
        <v>875</v>
      </c>
      <c r="B438" s="6">
        <v>45368</v>
      </c>
      <c r="C438" s="7" t="s">
        <v>876</v>
      </c>
      <c r="D438" s="7" t="s">
        <v>20</v>
      </c>
      <c r="E438" s="7" t="s">
        <v>55</v>
      </c>
      <c r="F438" s="7" t="s">
        <v>16</v>
      </c>
      <c r="G438" s="7">
        <v>5</v>
      </c>
      <c r="H438" s="8">
        <v>36.299999999999997</v>
      </c>
      <c r="I438" s="9">
        <v>5</v>
      </c>
      <c r="J438" s="8">
        <v>172.43</v>
      </c>
      <c r="K438" s="8">
        <v>24.66</v>
      </c>
      <c r="L438" s="10" t="s">
        <v>34</v>
      </c>
    </row>
    <row r="439" spans="1:12" x14ac:dyDescent="0.3">
      <c r="A439" s="5" t="s">
        <v>877</v>
      </c>
      <c r="B439" s="6">
        <v>45307</v>
      </c>
      <c r="C439" s="7" t="s">
        <v>425</v>
      </c>
      <c r="D439" s="7" t="s">
        <v>26</v>
      </c>
      <c r="E439" s="7" t="s">
        <v>154</v>
      </c>
      <c r="F439" s="7" t="s">
        <v>39</v>
      </c>
      <c r="G439" s="7">
        <v>2</v>
      </c>
      <c r="H439" s="8">
        <v>49.17</v>
      </c>
      <c r="I439" s="9">
        <v>5</v>
      </c>
      <c r="J439" s="8">
        <v>93.42</v>
      </c>
      <c r="K439" s="8">
        <v>33.18</v>
      </c>
      <c r="L439" s="10" t="s">
        <v>23</v>
      </c>
    </row>
    <row r="440" spans="1:12" x14ac:dyDescent="0.3">
      <c r="A440" s="5" t="s">
        <v>878</v>
      </c>
      <c r="B440" s="6">
        <v>45503</v>
      </c>
      <c r="C440" s="7" t="s">
        <v>879</v>
      </c>
      <c r="D440" s="7" t="s">
        <v>20</v>
      </c>
      <c r="E440" s="7" t="s">
        <v>52</v>
      </c>
      <c r="F440" s="7" t="s">
        <v>39</v>
      </c>
      <c r="G440" s="7">
        <v>2</v>
      </c>
      <c r="H440" s="8">
        <v>38.81</v>
      </c>
      <c r="I440" s="9">
        <v>15</v>
      </c>
      <c r="J440" s="8">
        <v>65.98</v>
      </c>
      <c r="K440" s="8">
        <v>17.690000000000001</v>
      </c>
      <c r="L440" s="10" t="s">
        <v>23</v>
      </c>
    </row>
    <row r="441" spans="1:12" x14ac:dyDescent="0.3">
      <c r="A441" s="5" t="s">
        <v>880</v>
      </c>
      <c r="B441" s="6">
        <v>45438</v>
      </c>
      <c r="C441" s="7" t="s">
        <v>535</v>
      </c>
      <c r="D441" s="7" t="s">
        <v>14</v>
      </c>
      <c r="E441" s="7" t="s">
        <v>74</v>
      </c>
      <c r="F441" s="7" t="s">
        <v>75</v>
      </c>
      <c r="G441" s="7">
        <v>2</v>
      </c>
      <c r="H441" s="8">
        <v>38.549999999999997</v>
      </c>
      <c r="I441" s="9">
        <v>0</v>
      </c>
      <c r="J441" s="8">
        <v>77.099999999999994</v>
      </c>
      <c r="K441" s="8">
        <v>12.11</v>
      </c>
      <c r="L441" s="10" t="s">
        <v>17</v>
      </c>
    </row>
    <row r="442" spans="1:12" x14ac:dyDescent="0.3">
      <c r="A442" s="5" t="s">
        <v>881</v>
      </c>
      <c r="B442" s="6">
        <v>45655</v>
      </c>
      <c r="C442" s="7" t="s">
        <v>882</v>
      </c>
      <c r="D442" s="7" t="s">
        <v>42</v>
      </c>
      <c r="E442" s="7" t="s">
        <v>460</v>
      </c>
      <c r="F442" s="7" t="s">
        <v>75</v>
      </c>
      <c r="G442" s="7">
        <v>2</v>
      </c>
      <c r="H442" s="8">
        <v>15.05</v>
      </c>
      <c r="I442" s="9">
        <v>0</v>
      </c>
      <c r="J442" s="8">
        <v>30.1</v>
      </c>
      <c r="K442" s="8">
        <v>5.37</v>
      </c>
      <c r="L442" s="10" t="s">
        <v>34</v>
      </c>
    </row>
    <row r="443" spans="1:12" x14ac:dyDescent="0.3">
      <c r="A443" s="5" t="s">
        <v>883</v>
      </c>
      <c r="B443" s="6">
        <v>45400</v>
      </c>
      <c r="C443" s="7" t="s">
        <v>496</v>
      </c>
      <c r="D443" s="7" t="s">
        <v>20</v>
      </c>
      <c r="E443" s="7" t="s">
        <v>61</v>
      </c>
      <c r="F443" s="7" t="s">
        <v>39</v>
      </c>
      <c r="G443" s="7">
        <v>3</v>
      </c>
      <c r="H443" s="8">
        <v>22.26</v>
      </c>
      <c r="I443" s="9">
        <v>5</v>
      </c>
      <c r="J443" s="8">
        <v>63.44</v>
      </c>
      <c r="K443" s="8">
        <v>19.63</v>
      </c>
      <c r="L443" s="10" t="s">
        <v>23</v>
      </c>
    </row>
    <row r="444" spans="1:12" x14ac:dyDescent="0.3">
      <c r="A444" s="5" t="s">
        <v>884</v>
      </c>
      <c r="B444" s="6">
        <v>46004</v>
      </c>
      <c r="C444" s="7" t="s">
        <v>773</v>
      </c>
      <c r="D444" s="7" t="s">
        <v>14</v>
      </c>
      <c r="E444" s="7" t="s">
        <v>88</v>
      </c>
      <c r="F444" s="7" t="s">
        <v>22</v>
      </c>
      <c r="G444" s="7">
        <v>4</v>
      </c>
      <c r="H444" s="8">
        <v>33.99</v>
      </c>
      <c r="I444" s="9">
        <v>5</v>
      </c>
      <c r="J444" s="8">
        <v>129.16</v>
      </c>
      <c r="K444" s="8">
        <v>83.02</v>
      </c>
      <c r="L444" s="10" t="s">
        <v>34</v>
      </c>
    </row>
    <row r="445" spans="1:12" x14ac:dyDescent="0.3">
      <c r="A445" s="5" t="s">
        <v>885</v>
      </c>
      <c r="B445" s="6">
        <v>45524</v>
      </c>
      <c r="C445" s="7" t="s">
        <v>361</v>
      </c>
      <c r="D445" s="7" t="s">
        <v>42</v>
      </c>
      <c r="E445" s="7" t="s">
        <v>232</v>
      </c>
      <c r="F445" s="7" t="s">
        <v>22</v>
      </c>
      <c r="G445" s="7">
        <v>3</v>
      </c>
      <c r="H445" s="8">
        <v>30.57</v>
      </c>
      <c r="I445" s="9">
        <v>20</v>
      </c>
      <c r="J445" s="8">
        <v>73.37</v>
      </c>
      <c r="K445" s="8">
        <v>45.6</v>
      </c>
      <c r="L445" s="10" t="s">
        <v>23</v>
      </c>
    </row>
    <row r="446" spans="1:12" x14ac:dyDescent="0.3">
      <c r="A446" s="5" t="s">
        <v>886</v>
      </c>
      <c r="B446" s="6">
        <v>45345</v>
      </c>
      <c r="C446" s="7" t="s">
        <v>887</v>
      </c>
      <c r="D446" s="7" t="s">
        <v>20</v>
      </c>
      <c r="E446" s="7" t="s">
        <v>141</v>
      </c>
      <c r="F446" s="7" t="s">
        <v>16</v>
      </c>
      <c r="G446" s="7">
        <v>3</v>
      </c>
      <c r="H446" s="8">
        <v>56.27</v>
      </c>
      <c r="I446" s="9">
        <v>0</v>
      </c>
      <c r="J446" s="8">
        <v>168.81</v>
      </c>
      <c r="K446" s="8">
        <v>27.47</v>
      </c>
      <c r="L446" s="10" t="s">
        <v>34</v>
      </c>
    </row>
    <row r="447" spans="1:12" x14ac:dyDescent="0.3">
      <c r="A447" s="5" t="s">
        <v>888</v>
      </c>
      <c r="B447" s="6">
        <v>45637</v>
      </c>
      <c r="C447" s="7" t="s">
        <v>889</v>
      </c>
      <c r="D447" s="7" t="s">
        <v>14</v>
      </c>
      <c r="E447" s="7" t="s">
        <v>286</v>
      </c>
      <c r="F447" s="7" t="s">
        <v>39</v>
      </c>
      <c r="G447" s="7">
        <v>1</v>
      </c>
      <c r="H447" s="8">
        <v>28.57</v>
      </c>
      <c r="I447" s="9">
        <v>15</v>
      </c>
      <c r="J447" s="8">
        <v>24.28</v>
      </c>
      <c r="K447" s="8">
        <v>8.52</v>
      </c>
      <c r="L447" s="10" t="s">
        <v>34</v>
      </c>
    </row>
    <row r="448" spans="1:12" x14ac:dyDescent="0.3">
      <c r="A448" s="5" t="s">
        <v>890</v>
      </c>
      <c r="B448" s="6">
        <v>45475</v>
      </c>
      <c r="C448" s="7" t="s">
        <v>433</v>
      </c>
      <c r="D448" s="7" t="s">
        <v>26</v>
      </c>
      <c r="E448" s="7" t="s">
        <v>227</v>
      </c>
      <c r="F448" s="7" t="s">
        <v>39</v>
      </c>
      <c r="G448" s="7">
        <v>3</v>
      </c>
      <c r="H448" s="8">
        <v>13.31</v>
      </c>
      <c r="I448" s="9">
        <v>20</v>
      </c>
      <c r="J448" s="8">
        <v>31.94</v>
      </c>
      <c r="K448" s="8">
        <v>12.71</v>
      </c>
      <c r="L448" s="10" t="s">
        <v>34</v>
      </c>
    </row>
    <row r="449" spans="1:12" x14ac:dyDescent="0.3">
      <c r="A449" s="5" t="s">
        <v>891</v>
      </c>
      <c r="B449" s="6">
        <v>45997</v>
      </c>
      <c r="C449" s="7" t="s">
        <v>892</v>
      </c>
      <c r="D449" s="7" t="s">
        <v>20</v>
      </c>
      <c r="E449" s="7" t="s">
        <v>21</v>
      </c>
      <c r="F449" s="7" t="s">
        <v>22</v>
      </c>
      <c r="G449" s="7">
        <v>1</v>
      </c>
      <c r="H449" s="8">
        <v>36.67</v>
      </c>
      <c r="I449" s="9">
        <v>5</v>
      </c>
      <c r="J449" s="8">
        <v>34.840000000000003</v>
      </c>
      <c r="K449" s="8">
        <v>22.12</v>
      </c>
      <c r="L449" s="10" t="s">
        <v>23</v>
      </c>
    </row>
    <row r="450" spans="1:12" x14ac:dyDescent="0.3">
      <c r="A450" s="5" t="s">
        <v>893</v>
      </c>
      <c r="B450" s="6">
        <v>45377</v>
      </c>
      <c r="C450" s="7" t="s">
        <v>894</v>
      </c>
      <c r="D450" s="7" t="s">
        <v>20</v>
      </c>
      <c r="E450" s="7" t="s">
        <v>269</v>
      </c>
      <c r="F450" s="7" t="s">
        <v>75</v>
      </c>
      <c r="G450" s="7">
        <v>1</v>
      </c>
      <c r="H450" s="8">
        <v>19.78</v>
      </c>
      <c r="I450" s="9">
        <v>0</v>
      </c>
      <c r="J450" s="8">
        <v>19.78</v>
      </c>
      <c r="K450" s="8">
        <v>3.27</v>
      </c>
      <c r="L450" s="10" t="s">
        <v>23</v>
      </c>
    </row>
    <row r="451" spans="1:12" x14ac:dyDescent="0.3">
      <c r="A451" s="5" t="s">
        <v>895</v>
      </c>
      <c r="B451" s="6">
        <v>45390</v>
      </c>
      <c r="C451" s="7" t="s">
        <v>896</v>
      </c>
      <c r="D451" s="7" t="s">
        <v>14</v>
      </c>
      <c r="E451" s="7" t="s">
        <v>83</v>
      </c>
      <c r="F451" s="7" t="s">
        <v>22</v>
      </c>
      <c r="G451" s="7">
        <v>1</v>
      </c>
      <c r="H451" s="8">
        <v>18.39</v>
      </c>
      <c r="I451" s="9">
        <v>10</v>
      </c>
      <c r="J451" s="8">
        <v>16.55</v>
      </c>
      <c r="K451" s="8">
        <v>7.93</v>
      </c>
      <c r="L451" s="10" t="s">
        <v>23</v>
      </c>
    </row>
    <row r="452" spans="1:12" x14ac:dyDescent="0.3">
      <c r="A452" s="5" t="s">
        <v>897</v>
      </c>
      <c r="B452" s="6">
        <v>46007</v>
      </c>
      <c r="C452" s="7" t="s">
        <v>898</v>
      </c>
      <c r="D452" s="7" t="s">
        <v>20</v>
      </c>
      <c r="E452" s="7" t="s">
        <v>133</v>
      </c>
      <c r="F452" s="7" t="s">
        <v>75</v>
      </c>
      <c r="G452" s="7">
        <v>2</v>
      </c>
      <c r="H452" s="8">
        <v>45.32</v>
      </c>
      <c r="I452" s="9">
        <v>5</v>
      </c>
      <c r="J452" s="8">
        <v>86.11</v>
      </c>
      <c r="K452" s="8">
        <v>23.2</v>
      </c>
      <c r="L452" s="10" t="s">
        <v>17</v>
      </c>
    </row>
    <row r="453" spans="1:12" x14ac:dyDescent="0.3">
      <c r="A453" s="5" t="s">
        <v>899</v>
      </c>
      <c r="B453" s="6">
        <v>45914</v>
      </c>
      <c r="C453" s="7" t="s">
        <v>900</v>
      </c>
      <c r="D453" s="7" t="s">
        <v>42</v>
      </c>
      <c r="E453" s="7" t="s">
        <v>324</v>
      </c>
      <c r="F453" s="7" t="s">
        <v>16</v>
      </c>
      <c r="G453" s="7">
        <v>1</v>
      </c>
      <c r="H453" s="8">
        <v>32.770000000000003</v>
      </c>
      <c r="I453" s="9">
        <v>0</v>
      </c>
      <c r="J453" s="8">
        <v>32.770000000000003</v>
      </c>
      <c r="K453" s="8">
        <v>5.77</v>
      </c>
      <c r="L453" s="10" t="s">
        <v>34</v>
      </c>
    </row>
    <row r="454" spans="1:12" x14ac:dyDescent="0.3">
      <c r="A454" s="5" t="s">
        <v>901</v>
      </c>
      <c r="B454" s="6">
        <v>45790</v>
      </c>
      <c r="C454" s="7" t="s">
        <v>427</v>
      </c>
      <c r="D454" s="7" t="s">
        <v>26</v>
      </c>
      <c r="E454" s="7" t="s">
        <v>48</v>
      </c>
      <c r="F454" s="7" t="s">
        <v>49</v>
      </c>
      <c r="G454" s="7">
        <v>1</v>
      </c>
      <c r="H454" s="8">
        <v>84.47</v>
      </c>
      <c r="I454" s="9">
        <v>5</v>
      </c>
      <c r="J454" s="8">
        <v>80.25</v>
      </c>
      <c r="K454" s="8">
        <v>25.12</v>
      </c>
      <c r="L454" s="10" t="s">
        <v>23</v>
      </c>
    </row>
    <row r="455" spans="1:12" x14ac:dyDescent="0.3">
      <c r="A455" s="5" t="s">
        <v>902</v>
      </c>
      <c r="B455" s="6">
        <v>45319</v>
      </c>
      <c r="C455" s="7" t="s">
        <v>903</v>
      </c>
      <c r="D455" s="7" t="s">
        <v>37</v>
      </c>
      <c r="E455" s="7" t="s">
        <v>269</v>
      </c>
      <c r="F455" s="7" t="s">
        <v>75</v>
      </c>
      <c r="G455" s="7">
        <v>3</v>
      </c>
      <c r="H455" s="8">
        <v>20.239999999999998</v>
      </c>
      <c r="I455" s="9">
        <v>10</v>
      </c>
      <c r="J455" s="8">
        <v>54.65</v>
      </c>
      <c r="K455" s="8">
        <v>16.09</v>
      </c>
      <c r="L455" s="10" t="s">
        <v>23</v>
      </c>
    </row>
    <row r="456" spans="1:12" x14ac:dyDescent="0.3">
      <c r="A456" s="5" t="s">
        <v>904</v>
      </c>
      <c r="B456" s="6">
        <v>45914</v>
      </c>
      <c r="C456" s="7" t="s">
        <v>905</v>
      </c>
      <c r="D456" s="7" t="s">
        <v>42</v>
      </c>
      <c r="E456" s="7" t="s">
        <v>222</v>
      </c>
      <c r="F456" s="7" t="s">
        <v>22</v>
      </c>
      <c r="G456" s="7">
        <v>3</v>
      </c>
      <c r="H456" s="8">
        <v>23.7</v>
      </c>
      <c r="I456" s="9">
        <v>0</v>
      </c>
      <c r="J456" s="8">
        <v>71.099999999999994</v>
      </c>
      <c r="K456" s="8">
        <v>37.24</v>
      </c>
      <c r="L456" s="10" t="s">
        <v>17</v>
      </c>
    </row>
    <row r="457" spans="1:12" x14ac:dyDescent="0.3">
      <c r="A457" s="5" t="s">
        <v>906</v>
      </c>
      <c r="B457" s="6">
        <v>45913</v>
      </c>
      <c r="C457" s="7" t="s">
        <v>907</v>
      </c>
      <c r="D457" s="7" t="s">
        <v>20</v>
      </c>
      <c r="E457" s="7" t="s">
        <v>15</v>
      </c>
      <c r="F457" s="7" t="s">
        <v>16</v>
      </c>
      <c r="G457" s="7">
        <v>1</v>
      </c>
      <c r="H457" s="8">
        <v>37.14</v>
      </c>
      <c r="I457" s="9">
        <v>5</v>
      </c>
      <c r="J457" s="8">
        <v>35.28</v>
      </c>
      <c r="K457" s="8">
        <v>7.62</v>
      </c>
      <c r="L457" s="10" t="s">
        <v>34</v>
      </c>
    </row>
    <row r="458" spans="1:12" x14ac:dyDescent="0.3">
      <c r="A458" s="5" t="s">
        <v>908</v>
      </c>
      <c r="B458" s="6">
        <v>45696</v>
      </c>
      <c r="C458" s="7" t="s">
        <v>909</v>
      </c>
      <c r="D458" s="7" t="s">
        <v>37</v>
      </c>
      <c r="E458" s="7" t="s">
        <v>21</v>
      </c>
      <c r="F458" s="7" t="s">
        <v>22</v>
      </c>
      <c r="G458" s="7">
        <v>1</v>
      </c>
      <c r="H458" s="8">
        <v>34.17</v>
      </c>
      <c r="I458" s="9">
        <v>0</v>
      </c>
      <c r="J458" s="8">
        <v>34.17</v>
      </c>
      <c r="K458" s="8">
        <v>16.7</v>
      </c>
      <c r="L458" s="10" t="s">
        <v>17</v>
      </c>
    </row>
    <row r="459" spans="1:12" x14ac:dyDescent="0.3">
      <c r="A459" s="5" t="s">
        <v>910</v>
      </c>
      <c r="B459" s="6">
        <v>45948</v>
      </c>
      <c r="C459" s="7" t="s">
        <v>911</v>
      </c>
      <c r="D459" s="7" t="s">
        <v>37</v>
      </c>
      <c r="E459" s="7" t="s">
        <v>83</v>
      </c>
      <c r="F459" s="7" t="s">
        <v>22</v>
      </c>
      <c r="G459" s="7">
        <v>2</v>
      </c>
      <c r="H459" s="8">
        <v>38.67</v>
      </c>
      <c r="I459" s="9">
        <v>0</v>
      </c>
      <c r="J459" s="8">
        <v>77.34</v>
      </c>
      <c r="K459" s="8">
        <v>49.11</v>
      </c>
      <c r="L459" s="10" t="s">
        <v>17</v>
      </c>
    </row>
    <row r="460" spans="1:12" x14ac:dyDescent="0.3">
      <c r="A460" s="5" t="s">
        <v>912</v>
      </c>
      <c r="B460" s="6">
        <v>45577</v>
      </c>
      <c r="C460" s="7" t="s">
        <v>504</v>
      </c>
      <c r="D460" s="7" t="s">
        <v>42</v>
      </c>
      <c r="E460" s="7" t="s">
        <v>108</v>
      </c>
      <c r="F460" s="7" t="s">
        <v>75</v>
      </c>
      <c r="G460" s="7">
        <v>2</v>
      </c>
      <c r="H460" s="8">
        <v>30.35</v>
      </c>
      <c r="I460" s="9">
        <v>20</v>
      </c>
      <c r="J460" s="8">
        <v>48.56</v>
      </c>
      <c r="K460" s="8">
        <v>12.29</v>
      </c>
      <c r="L460" s="10" t="s">
        <v>17</v>
      </c>
    </row>
    <row r="461" spans="1:12" x14ac:dyDescent="0.3">
      <c r="A461" s="5" t="s">
        <v>913</v>
      </c>
      <c r="B461" s="6">
        <v>45396</v>
      </c>
      <c r="C461" s="7" t="s">
        <v>914</v>
      </c>
      <c r="D461" s="7" t="s">
        <v>20</v>
      </c>
      <c r="E461" s="7" t="s">
        <v>91</v>
      </c>
      <c r="F461" s="7" t="s">
        <v>49</v>
      </c>
      <c r="G461" s="7">
        <v>2</v>
      </c>
      <c r="H461" s="8">
        <v>52.04</v>
      </c>
      <c r="I461" s="9">
        <v>0</v>
      </c>
      <c r="J461" s="8">
        <v>104.08</v>
      </c>
      <c r="K461" s="8">
        <v>32.659999999999997</v>
      </c>
      <c r="L461" s="10" t="s">
        <v>17</v>
      </c>
    </row>
    <row r="462" spans="1:12" x14ac:dyDescent="0.3">
      <c r="A462" s="5" t="s">
        <v>915</v>
      </c>
      <c r="B462" s="6">
        <v>45742</v>
      </c>
      <c r="C462" s="7" t="s">
        <v>916</v>
      </c>
      <c r="D462" s="7" t="s">
        <v>26</v>
      </c>
      <c r="E462" s="7" t="s">
        <v>148</v>
      </c>
      <c r="F462" s="7" t="s">
        <v>16</v>
      </c>
      <c r="G462" s="7">
        <v>3</v>
      </c>
      <c r="H462" s="8">
        <v>29.39</v>
      </c>
      <c r="I462" s="9">
        <v>5</v>
      </c>
      <c r="J462" s="8">
        <v>83.76</v>
      </c>
      <c r="K462" s="8">
        <v>9.49</v>
      </c>
      <c r="L462" s="10" t="s">
        <v>17</v>
      </c>
    </row>
    <row r="463" spans="1:12" x14ac:dyDescent="0.3">
      <c r="A463" s="5" t="s">
        <v>917</v>
      </c>
      <c r="B463" s="6">
        <v>45623</v>
      </c>
      <c r="C463" s="7" t="s">
        <v>918</v>
      </c>
      <c r="D463" s="7" t="s">
        <v>20</v>
      </c>
      <c r="E463" s="7" t="s">
        <v>502</v>
      </c>
      <c r="F463" s="7" t="s">
        <v>22</v>
      </c>
      <c r="G463" s="7">
        <v>2</v>
      </c>
      <c r="H463" s="8">
        <v>43.71</v>
      </c>
      <c r="I463" s="9">
        <v>5</v>
      </c>
      <c r="J463" s="8">
        <v>83.05</v>
      </c>
      <c r="K463" s="8">
        <v>45.49</v>
      </c>
      <c r="L463" s="10" t="s">
        <v>17</v>
      </c>
    </row>
    <row r="464" spans="1:12" x14ac:dyDescent="0.3">
      <c r="A464" s="5" t="s">
        <v>919</v>
      </c>
      <c r="B464" s="6">
        <v>45471</v>
      </c>
      <c r="C464" s="7" t="s">
        <v>920</v>
      </c>
      <c r="D464" s="7" t="s">
        <v>26</v>
      </c>
      <c r="E464" s="7" t="s">
        <v>460</v>
      </c>
      <c r="F464" s="7" t="s">
        <v>75</v>
      </c>
      <c r="G464" s="7">
        <v>3</v>
      </c>
      <c r="H464" s="8">
        <v>52.74</v>
      </c>
      <c r="I464" s="9">
        <v>5</v>
      </c>
      <c r="J464" s="8">
        <v>150.31</v>
      </c>
      <c r="K464" s="8">
        <v>33.56</v>
      </c>
      <c r="L464" s="10" t="s">
        <v>17</v>
      </c>
    </row>
    <row r="465" spans="1:12" x14ac:dyDescent="0.3">
      <c r="A465" s="5" t="s">
        <v>921</v>
      </c>
      <c r="B465" s="6">
        <v>45937</v>
      </c>
      <c r="C465" s="7" t="s">
        <v>922</v>
      </c>
      <c r="D465" s="7" t="s">
        <v>42</v>
      </c>
      <c r="E465" s="7" t="s">
        <v>83</v>
      </c>
      <c r="F465" s="7" t="s">
        <v>22</v>
      </c>
      <c r="G465" s="7">
        <v>2</v>
      </c>
      <c r="H465" s="8">
        <v>34.24</v>
      </c>
      <c r="I465" s="9">
        <v>10</v>
      </c>
      <c r="J465" s="8">
        <v>61.63</v>
      </c>
      <c r="K465" s="8">
        <v>33.03</v>
      </c>
      <c r="L465" s="10" t="s">
        <v>23</v>
      </c>
    </row>
    <row r="466" spans="1:12" x14ac:dyDescent="0.3">
      <c r="A466" s="5" t="s">
        <v>923</v>
      </c>
      <c r="B466" s="6">
        <v>45474</v>
      </c>
      <c r="C466" s="7" t="s">
        <v>609</v>
      </c>
      <c r="D466" s="7" t="s">
        <v>20</v>
      </c>
      <c r="E466" s="7" t="s">
        <v>33</v>
      </c>
      <c r="F466" s="7" t="s">
        <v>16</v>
      </c>
      <c r="G466" s="7">
        <v>1</v>
      </c>
      <c r="H466" s="8">
        <v>111.49</v>
      </c>
      <c r="I466" s="9">
        <v>15</v>
      </c>
      <c r="J466" s="8">
        <v>94.77</v>
      </c>
      <c r="K466" s="8">
        <v>22.05</v>
      </c>
      <c r="L466" s="10" t="s">
        <v>23</v>
      </c>
    </row>
    <row r="467" spans="1:12" x14ac:dyDescent="0.3">
      <c r="A467" s="5" t="s">
        <v>924</v>
      </c>
      <c r="B467" s="6">
        <v>45751</v>
      </c>
      <c r="C467" s="7" t="s">
        <v>925</v>
      </c>
      <c r="D467" s="7" t="s">
        <v>20</v>
      </c>
      <c r="E467" s="7" t="s">
        <v>211</v>
      </c>
      <c r="F467" s="7" t="s">
        <v>39</v>
      </c>
      <c r="G467" s="7">
        <v>3</v>
      </c>
      <c r="H467" s="8">
        <v>62.6</v>
      </c>
      <c r="I467" s="9">
        <v>15</v>
      </c>
      <c r="J467" s="8">
        <v>159.63</v>
      </c>
      <c r="K467" s="8">
        <v>35.57</v>
      </c>
      <c r="L467" s="10" t="s">
        <v>17</v>
      </c>
    </row>
    <row r="468" spans="1:12" x14ac:dyDescent="0.3">
      <c r="A468" s="5" t="s">
        <v>926</v>
      </c>
      <c r="B468" s="6">
        <v>45511</v>
      </c>
      <c r="C468" s="7" t="s">
        <v>607</v>
      </c>
      <c r="D468" s="7" t="s">
        <v>37</v>
      </c>
      <c r="E468" s="7" t="s">
        <v>214</v>
      </c>
      <c r="F468" s="7" t="s">
        <v>49</v>
      </c>
      <c r="G468" s="7">
        <v>1</v>
      </c>
      <c r="H468" s="8">
        <v>28.32</v>
      </c>
      <c r="I468" s="9">
        <v>5</v>
      </c>
      <c r="J468" s="8">
        <v>26.9</v>
      </c>
      <c r="K468" s="8">
        <v>13.73</v>
      </c>
      <c r="L468" s="10" t="s">
        <v>34</v>
      </c>
    </row>
    <row r="469" spans="1:12" x14ac:dyDescent="0.3">
      <c r="A469" s="5" t="s">
        <v>927</v>
      </c>
      <c r="B469" s="6">
        <v>45293</v>
      </c>
      <c r="C469" s="7" t="s">
        <v>599</v>
      </c>
      <c r="D469" s="7" t="s">
        <v>42</v>
      </c>
      <c r="E469" s="7" t="s">
        <v>214</v>
      </c>
      <c r="F469" s="7" t="s">
        <v>49</v>
      </c>
      <c r="G469" s="7">
        <v>1</v>
      </c>
      <c r="H469" s="8">
        <v>27.35</v>
      </c>
      <c r="I469" s="9">
        <v>5</v>
      </c>
      <c r="J469" s="8">
        <v>25.98</v>
      </c>
      <c r="K469" s="8">
        <v>10.199999999999999</v>
      </c>
      <c r="L469" s="10" t="s">
        <v>17</v>
      </c>
    </row>
    <row r="470" spans="1:12" x14ac:dyDescent="0.3">
      <c r="A470" s="5" t="s">
        <v>928</v>
      </c>
      <c r="B470" s="6">
        <v>45916</v>
      </c>
      <c r="C470" s="7" t="s">
        <v>929</v>
      </c>
      <c r="D470" s="7" t="s">
        <v>42</v>
      </c>
      <c r="E470" s="7" t="s">
        <v>43</v>
      </c>
      <c r="F470" s="7" t="s">
        <v>22</v>
      </c>
      <c r="G470" s="7">
        <v>1</v>
      </c>
      <c r="H470" s="8">
        <v>43.54</v>
      </c>
      <c r="I470" s="9">
        <v>0</v>
      </c>
      <c r="J470" s="8">
        <v>43.54</v>
      </c>
      <c r="K470" s="8">
        <v>19.52</v>
      </c>
      <c r="L470" s="10" t="s">
        <v>17</v>
      </c>
    </row>
    <row r="471" spans="1:12" x14ac:dyDescent="0.3">
      <c r="A471" s="5" t="s">
        <v>930</v>
      </c>
      <c r="B471" s="6">
        <v>45292</v>
      </c>
      <c r="C471" s="7" t="s">
        <v>931</v>
      </c>
      <c r="D471" s="7" t="s">
        <v>20</v>
      </c>
      <c r="E471" s="7" t="s">
        <v>177</v>
      </c>
      <c r="F471" s="7" t="s">
        <v>49</v>
      </c>
      <c r="G471" s="7">
        <v>2</v>
      </c>
      <c r="H471" s="8">
        <v>64.89</v>
      </c>
      <c r="I471" s="9">
        <v>10</v>
      </c>
      <c r="J471" s="8">
        <v>116.8</v>
      </c>
      <c r="K471" s="8">
        <v>39.409999999999997</v>
      </c>
      <c r="L471" s="10" t="s">
        <v>23</v>
      </c>
    </row>
    <row r="472" spans="1:12" x14ac:dyDescent="0.3">
      <c r="A472" s="5" t="s">
        <v>932</v>
      </c>
      <c r="B472" s="6">
        <v>45638</v>
      </c>
      <c r="C472" s="7" t="s">
        <v>933</v>
      </c>
      <c r="D472" s="7" t="s">
        <v>42</v>
      </c>
      <c r="E472" s="7" t="s">
        <v>55</v>
      </c>
      <c r="F472" s="7" t="s">
        <v>16</v>
      </c>
      <c r="G472" s="7">
        <v>2</v>
      </c>
      <c r="H472" s="8">
        <v>77.540000000000006</v>
      </c>
      <c r="I472" s="9">
        <v>10</v>
      </c>
      <c r="J472" s="8">
        <v>139.57</v>
      </c>
      <c r="K472" s="8">
        <v>27.17</v>
      </c>
      <c r="L472" s="10" t="s">
        <v>23</v>
      </c>
    </row>
    <row r="473" spans="1:12" x14ac:dyDescent="0.3">
      <c r="A473" s="5" t="s">
        <v>934</v>
      </c>
      <c r="B473" s="6">
        <v>45429</v>
      </c>
      <c r="C473" s="7" t="s">
        <v>935</v>
      </c>
      <c r="D473" s="7" t="s">
        <v>20</v>
      </c>
      <c r="E473" s="7" t="s">
        <v>48</v>
      </c>
      <c r="F473" s="7" t="s">
        <v>49</v>
      </c>
      <c r="G473" s="7">
        <v>2</v>
      </c>
      <c r="H473" s="8">
        <v>37.979999999999997</v>
      </c>
      <c r="I473" s="9">
        <v>10</v>
      </c>
      <c r="J473" s="8">
        <v>68.36</v>
      </c>
      <c r="K473" s="8">
        <v>27.39</v>
      </c>
      <c r="L473" s="10" t="s">
        <v>23</v>
      </c>
    </row>
    <row r="474" spans="1:12" x14ac:dyDescent="0.3">
      <c r="A474" s="5" t="s">
        <v>936</v>
      </c>
      <c r="B474" s="6">
        <v>45518</v>
      </c>
      <c r="C474" s="7" t="s">
        <v>937</v>
      </c>
      <c r="D474" s="7" t="s">
        <v>37</v>
      </c>
      <c r="E474" s="7" t="s">
        <v>52</v>
      </c>
      <c r="F474" s="7" t="s">
        <v>39</v>
      </c>
      <c r="G474" s="7">
        <v>1</v>
      </c>
      <c r="H474" s="8">
        <v>55.66</v>
      </c>
      <c r="I474" s="9">
        <v>10</v>
      </c>
      <c r="J474" s="8">
        <v>50.09</v>
      </c>
      <c r="K474" s="8">
        <v>19.05</v>
      </c>
      <c r="L474" s="10" t="s">
        <v>23</v>
      </c>
    </row>
    <row r="475" spans="1:12" x14ac:dyDescent="0.3">
      <c r="A475" s="5" t="s">
        <v>938</v>
      </c>
      <c r="B475" s="6">
        <v>45340</v>
      </c>
      <c r="C475" s="7" t="s">
        <v>939</v>
      </c>
      <c r="D475" s="7" t="s">
        <v>20</v>
      </c>
      <c r="E475" s="7" t="s">
        <v>105</v>
      </c>
      <c r="F475" s="7" t="s">
        <v>39</v>
      </c>
      <c r="G475" s="7">
        <v>1</v>
      </c>
      <c r="H475" s="8">
        <v>11.18</v>
      </c>
      <c r="I475" s="9">
        <v>5</v>
      </c>
      <c r="J475" s="8">
        <v>10.62</v>
      </c>
      <c r="K475" s="8">
        <v>2.8</v>
      </c>
      <c r="L475" s="10" t="s">
        <v>17</v>
      </c>
    </row>
    <row r="476" spans="1:12" x14ac:dyDescent="0.3">
      <c r="A476" s="5" t="s">
        <v>940</v>
      </c>
      <c r="B476" s="6">
        <v>45351</v>
      </c>
      <c r="C476" s="7" t="s">
        <v>941</v>
      </c>
      <c r="D476" s="7" t="s">
        <v>42</v>
      </c>
      <c r="E476" s="7" t="s">
        <v>74</v>
      </c>
      <c r="F476" s="7" t="s">
        <v>75</v>
      </c>
      <c r="G476" s="7">
        <v>1</v>
      </c>
      <c r="H476" s="8">
        <v>19.97</v>
      </c>
      <c r="I476" s="9">
        <v>0</v>
      </c>
      <c r="J476" s="8">
        <v>19.97</v>
      </c>
      <c r="K476" s="8">
        <v>3.54</v>
      </c>
      <c r="L476" s="10" t="s">
        <v>17</v>
      </c>
    </row>
    <row r="477" spans="1:12" x14ac:dyDescent="0.3">
      <c r="A477" s="5" t="s">
        <v>942</v>
      </c>
      <c r="B477" s="6">
        <v>45486</v>
      </c>
      <c r="C477" s="7" t="s">
        <v>943</v>
      </c>
      <c r="D477" s="7" t="s">
        <v>26</v>
      </c>
      <c r="E477" s="7" t="s">
        <v>253</v>
      </c>
      <c r="F477" s="7" t="s">
        <v>49</v>
      </c>
      <c r="G477" s="7">
        <v>3</v>
      </c>
      <c r="H477" s="8">
        <v>60.62</v>
      </c>
      <c r="I477" s="9">
        <v>0</v>
      </c>
      <c r="J477" s="8">
        <v>181.86</v>
      </c>
      <c r="K477" s="8">
        <v>84.52</v>
      </c>
      <c r="L477" s="10" t="s">
        <v>23</v>
      </c>
    </row>
    <row r="478" spans="1:12" x14ac:dyDescent="0.3">
      <c r="A478" s="5" t="s">
        <v>944</v>
      </c>
      <c r="B478" s="6">
        <v>45940</v>
      </c>
      <c r="C478" s="7" t="s">
        <v>945</v>
      </c>
      <c r="D478" s="7" t="s">
        <v>20</v>
      </c>
      <c r="E478" s="7" t="s">
        <v>61</v>
      </c>
      <c r="F478" s="7" t="s">
        <v>39</v>
      </c>
      <c r="G478" s="7">
        <v>1</v>
      </c>
      <c r="H478" s="8">
        <v>36</v>
      </c>
      <c r="I478" s="9">
        <v>10</v>
      </c>
      <c r="J478" s="8">
        <v>32.4</v>
      </c>
      <c r="K478" s="8">
        <v>9.68</v>
      </c>
      <c r="L478" s="10" t="s">
        <v>17</v>
      </c>
    </row>
    <row r="479" spans="1:12" x14ac:dyDescent="0.3">
      <c r="A479" s="5" t="s">
        <v>946</v>
      </c>
      <c r="B479" s="6">
        <v>45316</v>
      </c>
      <c r="C479" s="7" t="s">
        <v>947</v>
      </c>
      <c r="D479" s="7" t="s">
        <v>37</v>
      </c>
      <c r="E479" s="7" t="s">
        <v>460</v>
      </c>
      <c r="F479" s="7" t="s">
        <v>75</v>
      </c>
      <c r="G479" s="7">
        <v>1</v>
      </c>
      <c r="H479" s="8">
        <v>24.47</v>
      </c>
      <c r="I479" s="9">
        <v>20</v>
      </c>
      <c r="J479" s="8">
        <v>19.579999999999998</v>
      </c>
      <c r="K479" s="8">
        <v>4.62</v>
      </c>
      <c r="L479" s="10" t="s">
        <v>17</v>
      </c>
    </row>
    <row r="480" spans="1:12" x14ac:dyDescent="0.3">
      <c r="A480" s="5" t="s">
        <v>948</v>
      </c>
      <c r="B480" s="6">
        <v>45525</v>
      </c>
      <c r="C480" s="7" t="s">
        <v>949</v>
      </c>
      <c r="D480" s="7" t="s">
        <v>20</v>
      </c>
      <c r="E480" s="7" t="s">
        <v>111</v>
      </c>
      <c r="F480" s="7" t="s">
        <v>49</v>
      </c>
      <c r="G480" s="7">
        <v>1</v>
      </c>
      <c r="H480" s="8">
        <v>77.14</v>
      </c>
      <c r="I480" s="9">
        <v>0</v>
      </c>
      <c r="J480" s="8">
        <v>77.14</v>
      </c>
      <c r="K480" s="8">
        <v>25.92</v>
      </c>
      <c r="L480" s="10" t="s">
        <v>17</v>
      </c>
    </row>
    <row r="481" spans="1:12" x14ac:dyDescent="0.3">
      <c r="A481" s="5" t="s">
        <v>950</v>
      </c>
      <c r="B481" s="6">
        <v>45717</v>
      </c>
      <c r="C481" s="7" t="s">
        <v>773</v>
      </c>
      <c r="D481" s="7" t="s">
        <v>26</v>
      </c>
      <c r="E481" s="7" t="s">
        <v>105</v>
      </c>
      <c r="F481" s="7" t="s">
        <v>39</v>
      </c>
      <c r="G481" s="7">
        <v>2</v>
      </c>
      <c r="H481" s="8">
        <v>21.3</v>
      </c>
      <c r="I481" s="9">
        <v>0</v>
      </c>
      <c r="J481" s="8">
        <v>42.6</v>
      </c>
      <c r="K481" s="8">
        <v>10.44</v>
      </c>
      <c r="L481" s="10" t="s">
        <v>17</v>
      </c>
    </row>
    <row r="482" spans="1:12" x14ac:dyDescent="0.3">
      <c r="A482" s="5" t="s">
        <v>951</v>
      </c>
      <c r="B482" s="6">
        <v>45504</v>
      </c>
      <c r="C482" s="7" t="s">
        <v>952</v>
      </c>
      <c r="D482" s="7" t="s">
        <v>42</v>
      </c>
      <c r="E482" s="7" t="s">
        <v>80</v>
      </c>
      <c r="F482" s="7" t="s">
        <v>16</v>
      </c>
      <c r="G482" s="7">
        <v>2</v>
      </c>
      <c r="H482" s="8">
        <v>135.74</v>
      </c>
      <c r="I482" s="9">
        <v>20</v>
      </c>
      <c r="J482" s="8">
        <v>217.18</v>
      </c>
      <c r="K482" s="8">
        <v>53.09</v>
      </c>
      <c r="L482" s="10" t="s">
        <v>17</v>
      </c>
    </row>
    <row r="483" spans="1:12" x14ac:dyDescent="0.3">
      <c r="A483" s="5" t="s">
        <v>953</v>
      </c>
      <c r="B483" s="6">
        <v>45698</v>
      </c>
      <c r="C483" s="7" t="s">
        <v>954</v>
      </c>
      <c r="D483" s="7" t="s">
        <v>20</v>
      </c>
      <c r="E483" s="7" t="s">
        <v>111</v>
      </c>
      <c r="F483" s="7" t="s">
        <v>49</v>
      </c>
      <c r="G483" s="7">
        <v>4</v>
      </c>
      <c r="H483" s="8">
        <v>85.61</v>
      </c>
      <c r="I483" s="9">
        <v>15</v>
      </c>
      <c r="J483" s="8">
        <v>291.07</v>
      </c>
      <c r="K483" s="8">
        <v>159.84</v>
      </c>
      <c r="L483" s="10" t="s">
        <v>17</v>
      </c>
    </row>
    <row r="484" spans="1:12" x14ac:dyDescent="0.3">
      <c r="A484" s="5" t="s">
        <v>955</v>
      </c>
      <c r="B484" s="6">
        <v>45666</v>
      </c>
      <c r="C484" s="7" t="s">
        <v>956</v>
      </c>
      <c r="D484" s="7" t="s">
        <v>26</v>
      </c>
      <c r="E484" s="7" t="s">
        <v>88</v>
      </c>
      <c r="F484" s="7" t="s">
        <v>22</v>
      </c>
      <c r="G484" s="7">
        <v>5</v>
      </c>
      <c r="H484" s="8">
        <v>21.11</v>
      </c>
      <c r="I484" s="9">
        <v>10</v>
      </c>
      <c r="J484" s="8">
        <v>95</v>
      </c>
      <c r="K484" s="8">
        <v>59.17</v>
      </c>
      <c r="L484" s="10" t="s">
        <v>23</v>
      </c>
    </row>
    <row r="485" spans="1:12" x14ac:dyDescent="0.3">
      <c r="A485" s="5" t="s">
        <v>957</v>
      </c>
      <c r="B485" s="6">
        <v>45695</v>
      </c>
      <c r="C485" s="7" t="s">
        <v>836</v>
      </c>
      <c r="D485" s="7" t="s">
        <v>20</v>
      </c>
      <c r="E485" s="7" t="s">
        <v>154</v>
      </c>
      <c r="F485" s="7" t="s">
        <v>39</v>
      </c>
      <c r="G485" s="7">
        <v>3</v>
      </c>
      <c r="H485" s="8">
        <v>63.39</v>
      </c>
      <c r="I485" s="9">
        <v>5</v>
      </c>
      <c r="J485" s="8">
        <v>180.66</v>
      </c>
      <c r="K485" s="8">
        <v>66.38</v>
      </c>
      <c r="L485" s="10" t="s">
        <v>17</v>
      </c>
    </row>
    <row r="486" spans="1:12" x14ac:dyDescent="0.3">
      <c r="A486" s="5" t="s">
        <v>958</v>
      </c>
      <c r="B486" s="6">
        <v>45526</v>
      </c>
      <c r="C486" s="7" t="s">
        <v>959</v>
      </c>
      <c r="D486" s="7" t="s">
        <v>37</v>
      </c>
      <c r="E486" s="7" t="s">
        <v>108</v>
      </c>
      <c r="F486" s="7" t="s">
        <v>75</v>
      </c>
      <c r="G486" s="7">
        <v>2</v>
      </c>
      <c r="H486" s="8">
        <v>37.36</v>
      </c>
      <c r="I486" s="9">
        <v>10</v>
      </c>
      <c r="J486" s="8">
        <v>67.25</v>
      </c>
      <c r="K486" s="8">
        <v>18.489999999999998</v>
      </c>
      <c r="L486" s="10" t="s">
        <v>34</v>
      </c>
    </row>
    <row r="487" spans="1:12" x14ac:dyDescent="0.3">
      <c r="A487" s="5" t="s">
        <v>960</v>
      </c>
      <c r="B487" s="6">
        <v>45766</v>
      </c>
      <c r="C487" s="7" t="s">
        <v>961</v>
      </c>
      <c r="D487" s="7" t="s">
        <v>20</v>
      </c>
      <c r="E487" s="7" t="s">
        <v>136</v>
      </c>
      <c r="F487" s="7" t="s">
        <v>75</v>
      </c>
      <c r="G487" s="7">
        <v>2</v>
      </c>
      <c r="H487" s="8">
        <v>36.1</v>
      </c>
      <c r="I487" s="9">
        <v>5</v>
      </c>
      <c r="J487" s="8">
        <v>68.59</v>
      </c>
      <c r="K487" s="8">
        <v>17.489999999999998</v>
      </c>
      <c r="L487" s="10" t="s">
        <v>23</v>
      </c>
    </row>
    <row r="488" spans="1:12" x14ac:dyDescent="0.3">
      <c r="A488" s="5" t="s">
        <v>962</v>
      </c>
      <c r="B488" s="6">
        <v>45919</v>
      </c>
      <c r="C488" s="7" t="s">
        <v>195</v>
      </c>
      <c r="D488" s="7" t="s">
        <v>20</v>
      </c>
      <c r="E488" s="7" t="s">
        <v>69</v>
      </c>
      <c r="F488" s="7" t="s">
        <v>39</v>
      </c>
      <c r="G488" s="7">
        <v>1</v>
      </c>
      <c r="H488" s="8">
        <v>62.85</v>
      </c>
      <c r="I488" s="9">
        <v>0</v>
      </c>
      <c r="J488" s="8">
        <v>62.85</v>
      </c>
      <c r="K488" s="8">
        <v>23.27</v>
      </c>
      <c r="L488" s="10" t="s">
        <v>17</v>
      </c>
    </row>
    <row r="489" spans="1:12" x14ac:dyDescent="0.3">
      <c r="A489" s="5" t="s">
        <v>963</v>
      </c>
      <c r="B489" s="6">
        <v>45541</v>
      </c>
      <c r="C489" s="7" t="s">
        <v>838</v>
      </c>
      <c r="D489" s="7" t="s">
        <v>14</v>
      </c>
      <c r="E489" s="7" t="s">
        <v>88</v>
      </c>
      <c r="F489" s="7" t="s">
        <v>22</v>
      </c>
      <c r="G489" s="7">
        <v>1</v>
      </c>
      <c r="H489" s="8">
        <v>30.3</v>
      </c>
      <c r="I489" s="9">
        <v>15</v>
      </c>
      <c r="J489" s="8">
        <v>25.76</v>
      </c>
      <c r="K489" s="8">
        <v>14.33</v>
      </c>
      <c r="L489" s="10" t="s">
        <v>23</v>
      </c>
    </row>
    <row r="490" spans="1:12" x14ac:dyDescent="0.3">
      <c r="A490" s="5" t="s">
        <v>964</v>
      </c>
      <c r="B490" s="6">
        <v>45671</v>
      </c>
      <c r="C490" s="7" t="s">
        <v>965</v>
      </c>
      <c r="D490" s="7" t="s">
        <v>20</v>
      </c>
      <c r="E490" s="7" t="s">
        <v>108</v>
      </c>
      <c r="F490" s="7" t="s">
        <v>75</v>
      </c>
      <c r="G490" s="7">
        <v>2</v>
      </c>
      <c r="H490" s="8">
        <v>58.72</v>
      </c>
      <c r="I490" s="9">
        <v>0</v>
      </c>
      <c r="J490" s="8">
        <v>117.44</v>
      </c>
      <c r="K490" s="8">
        <v>25.02</v>
      </c>
      <c r="L490" s="10" t="s">
        <v>23</v>
      </c>
    </row>
    <row r="491" spans="1:12" x14ac:dyDescent="0.3">
      <c r="A491" s="5" t="s">
        <v>966</v>
      </c>
      <c r="B491" s="6">
        <v>45859</v>
      </c>
      <c r="C491" s="7" t="s">
        <v>967</v>
      </c>
      <c r="D491" s="7" t="s">
        <v>20</v>
      </c>
      <c r="E491" s="7" t="s">
        <v>27</v>
      </c>
      <c r="F491" s="7" t="s">
        <v>22</v>
      </c>
      <c r="G491" s="7">
        <v>2</v>
      </c>
      <c r="H491" s="8">
        <v>31.66</v>
      </c>
      <c r="I491" s="9">
        <v>15</v>
      </c>
      <c r="J491" s="8">
        <v>53.82</v>
      </c>
      <c r="K491" s="8">
        <v>31.53</v>
      </c>
      <c r="L491" s="10" t="s">
        <v>17</v>
      </c>
    </row>
    <row r="492" spans="1:12" x14ac:dyDescent="0.3">
      <c r="A492" s="5" t="s">
        <v>968</v>
      </c>
      <c r="B492" s="6">
        <v>45981</v>
      </c>
      <c r="C492" s="7" t="s">
        <v>523</v>
      </c>
      <c r="D492" s="7" t="s">
        <v>42</v>
      </c>
      <c r="E492" s="7" t="s">
        <v>184</v>
      </c>
      <c r="F492" s="7" t="s">
        <v>49</v>
      </c>
      <c r="G492" s="7">
        <v>2</v>
      </c>
      <c r="H492" s="8">
        <v>46.18</v>
      </c>
      <c r="I492" s="9">
        <v>0</v>
      </c>
      <c r="J492" s="8">
        <v>92.36</v>
      </c>
      <c r="K492" s="8">
        <v>45.51</v>
      </c>
      <c r="L492" s="10" t="s">
        <v>23</v>
      </c>
    </row>
    <row r="493" spans="1:12" x14ac:dyDescent="0.3">
      <c r="A493" s="5" t="s">
        <v>969</v>
      </c>
      <c r="B493" s="6">
        <v>45624</v>
      </c>
      <c r="C493" s="7" t="s">
        <v>838</v>
      </c>
      <c r="D493" s="7" t="s">
        <v>20</v>
      </c>
      <c r="E493" s="7" t="s">
        <v>460</v>
      </c>
      <c r="F493" s="7" t="s">
        <v>75</v>
      </c>
      <c r="G493" s="7">
        <v>4</v>
      </c>
      <c r="H493" s="8">
        <v>51.81</v>
      </c>
      <c r="I493" s="9">
        <v>5</v>
      </c>
      <c r="J493" s="8">
        <v>196.88</v>
      </c>
      <c r="K493" s="8">
        <v>48.45</v>
      </c>
      <c r="L493" s="10" t="s">
        <v>23</v>
      </c>
    </row>
    <row r="494" spans="1:12" x14ac:dyDescent="0.3">
      <c r="A494" s="5" t="s">
        <v>970</v>
      </c>
      <c r="B494" s="6">
        <v>45647</v>
      </c>
      <c r="C494" s="7" t="s">
        <v>300</v>
      </c>
      <c r="D494" s="7" t="s">
        <v>20</v>
      </c>
      <c r="E494" s="7" t="s">
        <v>246</v>
      </c>
      <c r="F494" s="7" t="s">
        <v>75</v>
      </c>
      <c r="G494" s="7">
        <v>1</v>
      </c>
      <c r="H494" s="8">
        <v>11.77</v>
      </c>
      <c r="I494" s="9">
        <v>0</v>
      </c>
      <c r="J494" s="8">
        <v>11.77</v>
      </c>
      <c r="K494" s="8">
        <v>2.48</v>
      </c>
      <c r="L494" s="10" t="s">
        <v>23</v>
      </c>
    </row>
    <row r="495" spans="1:12" x14ac:dyDescent="0.3">
      <c r="A495" s="5" t="s">
        <v>971</v>
      </c>
      <c r="B495" s="6">
        <v>45767</v>
      </c>
      <c r="C495" s="7" t="s">
        <v>972</v>
      </c>
      <c r="D495" s="7" t="s">
        <v>42</v>
      </c>
      <c r="E495" s="7" t="s">
        <v>286</v>
      </c>
      <c r="F495" s="7" t="s">
        <v>39</v>
      </c>
      <c r="G495" s="7">
        <v>1</v>
      </c>
      <c r="H495" s="8">
        <v>49.49</v>
      </c>
      <c r="I495" s="9">
        <v>0</v>
      </c>
      <c r="J495" s="8">
        <v>49.49</v>
      </c>
      <c r="K495" s="8">
        <v>13.98</v>
      </c>
      <c r="L495" s="10" t="s">
        <v>23</v>
      </c>
    </row>
    <row r="496" spans="1:12" x14ac:dyDescent="0.3">
      <c r="A496" s="5" t="s">
        <v>973</v>
      </c>
      <c r="B496" s="6">
        <v>45651</v>
      </c>
      <c r="C496" s="7" t="s">
        <v>678</v>
      </c>
      <c r="D496" s="7" t="s">
        <v>20</v>
      </c>
      <c r="E496" s="7" t="s">
        <v>48</v>
      </c>
      <c r="F496" s="7" t="s">
        <v>49</v>
      </c>
      <c r="G496" s="7">
        <v>2</v>
      </c>
      <c r="H496" s="8">
        <v>52.91</v>
      </c>
      <c r="I496" s="9">
        <v>10</v>
      </c>
      <c r="J496" s="8">
        <v>95.24</v>
      </c>
      <c r="K496" s="8">
        <v>41.68</v>
      </c>
      <c r="L496" s="10" t="s">
        <v>17</v>
      </c>
    </row>
    <row r="497" spans="1:12" x14ac:dyDescent="0.3">
      <c r="A497" s="5" t="s">
        <v>974</v>
      </c>
      <c r="B497" s="6">
        <v>45811</v>
      </c>
      <c r="C497" s="7" t="s">
        <v>975</v>
      </c>
      <c r="D497" s="7" t="s">
        <v>14</v>
      </c>
      <c r="E497" s="7" t="s">
        <v>187</v>
      </c>
      <c r="F497" s="7" t="s">
        <v>75</v>
      </c>
      <c r="G497" s="7">
        <v>3</v>
      </c>
      <c r="H497" s="8">
        <v>39.03</v>
      </c>
      <c r="I497" s="9">
        <v>25</v>
      </c>
      <c r="J497" s="8">
        <v>87.82</v>
      </c>
      <c r="K497" s="8">
        <v>26.26</v>
      </c>
      <c r="L497" s="10" t="s">
        <v>23</v>
      </c>
    </row>
    <row r="498" spans="1:12" x14ac:dyDescent="0.3">
      <c r="A498" s="5" t="s">
        <v>976</v>
      </c>
      <c r="B498" s="6">
        <v>45696</v>
      </c>
      <c r="C498" s="7" t="s">
        <v>977</v>
      </c>
      <c r="D498" s="7" t="s">
        <v>20</v>
      </c>
      <c r="E498" s="7" t="s">
        <v>83</v>
      </c>
      <c r="F498" s="7" t="s">
        <v>22</v>
      </c>
      <c r="G498" s="7">
        <v>2</v>
      </c>
      <c r="H498" s="8">
        <v>9</v>
      </c>
      <c r="I498" s="9">
        <v>0</v>
      </c>
      <c r="J498" s="8">
        <v>18</v>
      </c>
      <c r="K498" s="8">
        <v>10.61</v>
      </c>
      <c r="L498" s="10" t="s">
        <v>17</v>
      </c>
    </row>
    <row r="499" spans="1:12" x14ac:dyDescent="0.3">
      <c r="A499" s="5" t="s">
        <v>978</v>
      </c>
      <c r="B499" s="6">
        <v>45766</v>
      </c>
      <c r="C499" s="7" t="s">
        <v>445</v>
      </c>
      <c r="D499" s="7" t="s">
        <v>26</v>
      </c>
      <c r="E499" s="7" t="s">
        <v>177</v>
      </c>
      <c r="F499" s="7" t="s">
        <v>49</v>
      </c>
      <c r="G499" s="7">
        <v>1</v>
      </c>
      <c r="H499" s="8">
        <v>43.17</v>
      </c>
      <c r="I499" s="9">
        <v>0</v>
      </c>
      <c r="J499" s="8">
        <v>43.17</v>
      </c>
      <c r="K499" s="8">
        <v>22.43</v>
      </c>
      <c r="L499" s="10" t="s">
        <v>17</v>
      </c>
    </row>
    <row r="500" spans="1:12" x14ac:dyDescent="0.3">
      <c r="A500" s="5" t="s">
        <v>979</v>
      </c>
      <c r="B500" s="6">
        <v>45418</v>
      </c>
      <c r="C500" s="7" t="s">
        <v>980</v>
      </c>
      <c r="D500" s="7" t="s">
        <v>37</v>
      </c>
      <c r="E500" s="7" t="s">
        <v>21</v>
      </c>
      <c r="F500" s="7" t="s">
        <v>22</v>
      </c>
      <c r="G500" s="7">
        <v>2</v>
      </c>
      <c r="H500" s="8">
        <v>21.03</v>
      </c>
      <c r="I500" s="9">
        <v>5</v>
      </c>
      <c r="J500" s="8">
        <v>39.96</v>
      </c>
      <c r="K500" s="8">
        <v>22.13</v>
      </c>
      <c r="L500" s="10" t="s">
        <v>17</v>
      </c>
    </row>
    <row r="501" spans="1:12" x14ac:dyDescent="0.3">
      <c r="A501" s="5" t="s">
        <v>981</v>
      </c>
      <c r="B501" s="6">
        <v>45409</v>
      </c>
      <c r="C501" s="7" t="s">
        <v>577</v>
      </c>
      <c r="D501" s="7" t="s">
        <v>14</v>
      </c>
      <c r="E501" s="7" t="s">
        <v>208</v>
      </c>
      <c r="F501" s="7" t="s">
        <v>22</v>
      </c>
      <c r="G501" s="7">
        <v>1</v>
      </c>
      <c r="H501" s="8">
        <v>26.51</v>
      </c>
      <c r="I501" s="9">
        <v>15</v>
      </c>
      <c r="J501" s="8">
        <v>22.53</v>
      </c>
      <c r="K501" s="8">
        <v>9.73</v>
      </c>
      <c r="L501" s="10" t="s">
        <v>23</v>
      </c>
    </row>
    <row r="502" spans="1:12" x14ac:dyDescent="0.3">
      <c r="A502" s="5" t="s">
        <v>982</v>
      </c>
      <c r="B502" s="6">
        <v>45585</v>
      </c>
      <c r="C502" s="7" t="s">
        <v>453</v>
      </c>
      <c r="D502" s="7" t="s">
        <v>37</v>
      </c>
      <c r="E502" s="7" t="s">
        <v>460</v>
      </c>
      <c r="F502" s="7" t="s">
        <v>75</v>
      </c>
      <c r="G502" s="7">
        <v>3</v>
      </c>
      <c r="H502" s="8">
        <v>19.27</v>
      </c>
      <c r="I502" s="9">
        <v>0</v>
      </c>
      <c r="J502" s="8">
        <v>57.81</v>
      </c>
      <c r="K502" s="8">
        <v>12.03</v>
      </c>
      <c r="L502" s="10" t="s">
        <v>17</v>
      </c>
    </row>
    <row r="503" spans="1:12" x14ac:dyDescent="0.3">
      <c r="A503" s="5" t="s">
        <v>983</v>
      </c>
      <c r="B503" s="6">
        <v>45550</v>
      </c>
      <c r="C503" s="7" t="s">
        <v>145</v>
      </c>
      <c r="D503" s="7" t="s">
        <v>42</v>
      </c>
      <c r="E503" s="7" t="s">
        <v>80</v>
      </c>
      <c r="F503" s="7" t="s">
        <v>16</v>
      </c>
      <c r="G503" s="7">
        <v>3</v>
      </c>
      <c r="H503" s="8">
        <v>61.12</v>
      </c>
      <c r="I503" s="9">
        <v>0</v>
      </c>
      <c r="J503" s="8">
        <v>183.36</v>
      </c>
      <c r="K503" s="8">
        <v>30.18</v>
      </c>
      <c r="L503" s="10" t="s">
        <v>17</v>
      </c>
    </row>
    <row r="504" spans="1:12" x14ac:dyDescent="0.3">
      <c r="A504" s="5" t="s">
        <v>984</v>
      </c>
      <c r="B504" s="6">
        <v>45632</v>
      </c>
      <c r="C504" s="7" t="s">
        <v>840</v>
      </c>
      <c r="D504" s="7" t="s">
        <v>26</v>
      </c>
      <c r="E504" s="7" t="s">
        <v>91</v>
      </c>
      <c r="F504" s="7" t="s">
        <v>49</v>
      </c>
      <c r="G504" s="7">
        <v>1</v>
      </c>
      <c r="H504" s="8">
        <v>37.65</v>
      </c>
      <c r="I504" s="9">
        <v>10</v>
      </c>
      <c r="J504" s="8">
        <v>33.89</v>
      </c>
      <c r="K504" s="8">
        <v>13.5</v>
      </c>
      <c r="L504" s="10" t="s">
        <v>23</v>
      </c>
    </row>
    <row r="505" spans="1:12" x14ac:dyDescent="0.3">
      <c r="A505" s="5" t="s">
        <v>985</v>
      </c>
      <c r="B505" s="6">
        <v>45898</v>
      </c>
      <c r="C505" s="7" t="s">
        <v>986</v>
      </c>
      <c r="D505" s="7" t="s">
        <v>42</v>
      </c>
      <c r="E505" s="7" t="s">
        <v>55</v>
      </c>
      <c r="F505" s="7" t="s">
        <v>16</v>
      </c>
      <c r="G505" s="7">
        <v>5</v>
      </c>
      <c r="H505" s="8">
        <v>60.77</v>
      </c>
      <c r="I505" s="9">
        <v>10</v>
      </c>
      <c r="J505" s="8">
        <v>273.47000000000003</v>
      </c>
      <c r="K505" s="8">
        <v>30.53</v>
      </c>
      <c r="L505" s="10" t="s">
        <v>17</v>
      </c>
    </row>
    <row r="506" spans="1:12" x14ac:dyDescent="0.3">
      <c r="A506" s="5" t="s">
        <v>987</v>
      </c>
      <c r="B506" s="6">
        <v>45530</v>
      </c>
      <c r="C506" s="7" t="s">
        <v>988</v>
      </c>
      <c r="D506" s="7" t="s">
        <v>14</v>
      </c>
      <c r="E506" s="7" t="s">
        <v>141</v>
      </c>
      <c r="F506" s="7" t="s">
        <v>16</v>
      </c>
      <c r="G506" s="7">
        <v>1</v>
      </c>
      <c r="H506" s="8">
        <v>141.66</v>
      </c>
      <c r="I506" s="9">
        <v>5</v>
      </c>
      <c r="J506" s="8">
        <v>134.58000000000001</v>
      </c>
      <c r="K506" s="8">
        <v>25.72</v>
      </c>
      <c r="L506" s="10" t="s">
        <v>17</v>
      </c>
    </row>
    <row r="507" spans="1:12" x14ac:dyDescent="0.3">
      <c r="A507" s="5" t="s">
        <v>989</v>
      </c>
      <c r="B507" s="6">
        <v>45994</v>
      </c>
      <c r="C507" s="7" t="s">
        <v>990</v>
      </c>
      <c r="D507" s="7" t="s">
        <v>26</v>
      </c>
      <c r="E507" s="7" t="s">
        <v>136</v>
      </c>
      <c r="F507" s="7" t="s">
        <v>75</v>
      </c>
      <c r="G507" s="7">
        <v>2</v>
      </c>
      <c r="H507" s="8">
        <v>52.33</v>
      </c>
      <c r="I507" s="9">
        <v>15</v>
      </c>
      <c r="J507" s="8">
        <v>88.96</v>
      </c>
      <c r="K507" s="8">
        <v>28.53</v>
      </c>
      <c r="L507" s="10" t="s">
        <v>17</v>
      </c>
    </row>
    <row r="508" spans="1:12" x14ac:dyDescent="0.3">
      <c r="A508" s="5" t="s">
        <v>991</v>
      </c>
      <c r="B508" s="6">
        <v>45945</v>
      </c>
      <c r="C508" s="7" t="s">
        <v>822</v>
      </c>
      <c r="D508" s="7" t="s">
        <v>20</v>
      </c>
      <c r="E508" s="7" t="s">
        <v>61</v>
      </c>
      <c r="F508" s="7" t="s">
        <v>39</v>
      </c>
      <c r="G508" s="7">
        <v>4</v>
      </c>
      <c r="H508" s="8">
        <v>74.36</v>
      </c>
      <c r="I508" s="9">
        <v>10</v>
      </c>
      <c r="J508" s="8">
        <v>267.7</v>
      </c>
      <c r="K508" s="8">
        <v>79.23</v>
      </c>
      <c r="L508" s="10" t="s">
        <v>17</v>
      </c>
    </row>
    <row r="509" spans="1:12" x14ac:dyDescent="0.3">
      <c r="A509" s="5" t="s">
        <v>992</v>
      </c>
      <c r="B509" s="6">
        <v>45645</v>
      </c>
      <c r="C509" s="7" t="s">
        <v>219</v>
      </c>
      <c r="D509" s="7" t="s">
        <v>14</v>
      </c>
      <c r="E509" s="7" t="s">
        <v>52</v>
      </c>
      <c r="F509" s="7" t="s">
        <v>39</v>
      </c>
      <c r="G509" s="7">
        <v>5</v>
      </c>
      <c r="H509" s="8">
        <v>48.14</v>
      </c>
      <c r="I509" s="9">
        <v>10</v>
      </c>
      <c r="J509" s="8">
        <v>216.63</v>
      </c>
      <c r="K509" s="8">
        <v>49.94</v>
      </c>
      <c r="L509" s="10" t="s">
        <v>17</v>
      </c>
    </row>
    <row r="510" spans="1:12" x14ac:dyDescent="0.3">
      <c r="A510" s="5" t="s">
        <v>993</v>
      </c>
      <c r="B510" s="6">
        <v>45298</v>
      </c>
      <c r="C510" s="7" t="s">
        <v>994</v>
      </c>
      <c r="D510" s="7" t="s">
        <v>42</v>
      </c>
      <c r="E510" s="7" t="s">
        <v>80</v>
      </c>
      <c r="F510" s="7" t="s">
        <v>16</v>
      </c>
      <c r="G510" s="7">
        <v>1</v>
      </c>
      <c r="H510" s="8">
        <v>85.98</v>
      </c>
      <c r="I510" s="9">
        <v>10</v>
      </c>
      <c r="J510" s="8">
        <v>77.38</v>
      </c>
      <c r="K510" s="8">
        <v>8.8800000000000008</v>
      </c>
      <c r="L510" s="10" t="s">
        <v>23</v>
      </c>
    </row>
    <row r="511" spans="1:12" x14ac:dyDescent="0.3">
      <c r="A511" s="5" t="s">
        <v>995</v>
      </c>
      <c r="B511" s="6">
        <v>45953</v>
      </c>
      <c r="C511" s="7" t="s">
        <v>996</v>
      </c>
      <c r="D511" s="7" t="s">
        <v>37</v>
      </c>
      <c r="E511" s="7" t="s">
        <v>43</v>
      </c>
      <c r="F511" s="7" t="s">
        <v>22</v>
      </c>
      <c r="G511" s="7">
        <v>1</v>
      </c>
      <c r="H511" s="8">
        <v>19.62</v>
      </c>
      <c r="I511" s="9">
        <v>10</v>
      </c>
      <c r="J511" s="8">
        <v>17.66</v>
      </c>
      <c r="K511" s="8">
        <v>11.24</v>
      </c>
      <c r="L511" s="10" t="s">
        <v>17</v>
      </c>
    </row>
    <row r="512" spans="1:12" x14ac:dyDescent="0.3">
      <c r="A512" s="5" t="s">
        <v>997</v>
      </c>
      <c r="B512" s="6">
        <v>45545</v>
      </c>
      <c r="C512" s="7" t="s">
        <v>417</v>
      </c>
      <c r="D512" s="7" t="s">
        <v>14</v>
      </c>
      <c r="E512" s="7" t="s">
        <v>232</v>
      </c>
      <c r="F512" s="7" t="s">
        <v>22</v>
      </c>
      <c r="G512" s="7">
        <v>1</v>
      </c>
      <c r="H512" s="8">
        <v>40.299999999999997</v>
      </c>
      <c r="I512" s="9">
        <v>10</v>
      </c>
      <c r="J512" s="8">
        <v>36.270000000000003</v>
      </c>
      <c r="K512" s="8">
        <v>22.49</v>
      </c>
      <c r="L512" s="10" t="s">
        <v>17</v>
      </c>
    </row>
    <row r="513" spans="1:12" x14ac:dyDescent="0.3">
      <c r="A513" s="5" t="s">
        <v>998</v>
      </c>
      <c r="B513" s="6">
        <v>45466</v>
      </c>
      <c r="C513" s="7" t="s">
        <v>525</v>
      </c>
      <c r="D513" s="7" t="s">
        <v>14</v>
      </c>
      <c r="E513" s="7" t="s">
        <v>111</v>
      </c>
      <c r="F513" s="7" t="s">
        <v>49</v>
      </c>
      <c r="G513" s="7">
        <v>4</v>
      </c>
      <c r="H513" s="8">
        <v>85.7</v>
      </c>
      <c r="I513" s="9">
        <v>5</v>
      </c>
      <c r="J513" s="8">
        <v>325.66000000000003</v>
      </c>
      <c r="K513" s="8">
        <v>138.62</v>
      </c>
      <c r="L513" s="10" t="s">
        <v>17</v>
      </c>
    </row>
    <row r="514" spans="1:12" x14ac:dyDescent="0.3">
      <c r="A514" s="5" t="s">
        <v>999</v>
      </c>
      <c r="B514" s="6">
        <v>45777</v>
      </c>
      <c r="C514" s="7" t="s">
        <v>980</v>
      </c>
      <c r="D514" s="7" t="s">
        <v>20</v>
      </c>
      <c r="E514" s="7" t="s">
        <v>43</v>
      </c>
      <c r="F514" s="7" t="s">
        <v>22</v>
      </c>
      <c r="G514" s="7">
        <v>1</v>
      </c>
      <c r="H514" s="8">
        <v>14.47</v>
      </c>
      <c r="I514" s="9">
        <v>5</v>
      </c>
      <c r="J514" s="8">
        <v>13.75</v>
      </c>
      <c r="K514" s="8">
        <v>8.06</v>
      </c>
      <c r="L514" s="10" t="s">
        <v>23</v>
      </c>
    </row>
    <row r="515" spans="1:12" x14ac:dyDescent="0.3">
      <c r="A515" s="5" t="s">
        <v>1000</v>
      </c>
      <c r="B515" s="6">
        <v>45740</v>
      </c>
      <c r="C515" s="7" t="s">
        <v>1001</v>
      </c>
      <c r="D515" s="7" t="s">
        <v>37</v>
      </c>
      <c r="E515" s="7" t="s">
        <v>253</v>
      </c>
      <c r="F515" s="7" t="s">
        <v>49</v>
      </c>
      <c r="G515" s="7">
        <v>2</v>
      </c>
      <c r="H515" s="8">
        <v>82.56</v>
      </c>
      <c r="I515" s="9">
        <v>5</v>
      </c>
      <c r="J515" s="8">
        <v>156.86000000000001</v>
      </c>
      <c r="K515" s="8">
        <v>50.48</v>
      </c>
      <c r="L515" s="10" t="s">
        <v>17</v>
      </c>
    </row>
    <row r="516" spans="1:12" x14ac:dyDescent="0.3">
      <c r="A516" s="5" t="s">
        <v>1002</v>
      </c>
      <c r="B516" s="6">
        <v>45996</v>
      </c>
      <c r="C516" s="7" t="s">
        <v>1003</v>
      </c>
      <c r="D516" s="7" t="s">
        <v>14</v>
      </c>
      <c r="E516" s="7" t="s">
        <v>27</v>
      </c>
      <c r="F516" s="7" t="s">
        <v>22</v>
      </c>
      <c r="G516" s="7">
        <v>1</v>
      </c>
      <c r="H516" s="8">
        <v>44.94</v>
      </c>
      <c r="I516" s="9">
        <v>0</v>
      </c>
      <c r="J516" s="8">
        <v>44.94</v>
      </c>
      <c r="K516" s="8">
        <v>20.22</v>
      </c>
      <c r="L516" s="10" t="s">
        <v>17</v>
      </c>
    </row>
    <row r="517" spans="1:12" x14ac:dyDescent="0.3">
      <c r="A517" s="5" t="s">
        <v>1004</v>
      </c>
      <c r="B517" s="6">
        <v>45624</v>
      </c>
      <c r="C517" s="7" t="s">
        <v>711</v>
      </c>
      <c r="D517" s="7" t="s">
        <v>26</v>
      </c>
      <c r="E517" s="7" t="s">
        <v>184</v>
      </c>
      <c r="F517" s="7" t="s">
        <v>49</v>
      </c>
      <c r="G517" s="7">
        <v>2</v>
      </c>
      <c r="H517" s="8">
        <v>59.61</v>
      </c>
      <c r="I517" s="9">
        <v>15</v>
      </c>
      <c r="J517" s="8">
        <v>101.34</v>
      </c>
      <c r="K517" s="8">
        <v>45.43</v>
      </c>
      <c r="L517" s="10" t="s">
        <v>23</v>
      </c>
    </row>
    <row r="518" spans="1:12" x14ac:dyDescent="0.3">
      <c r="A518" s="5" t="s">
        <v>1005</v>
      </c>
      <c r="B518" s="6">
        <v>45369</v>
      </c>
      <c r="C518" s="7" t="s">
        <v>801</v>
      </c>
      <c r="D518" s="7" t="s">
        <v>26</v>
      </c>
      <c r="E518" s="7" t="s">
        <v>48</v>
      </c>
      <c r="F518" s="7" t="s">
        <v>49</v>
      </c>
      <c r="G518" s="7">
        <v>3</v>
      </c>
      <c r="H518" s="8">
        <v>62.5</v>
      </c>
      <c r="I518" s="9">
        <v>10</v>
      </c>
      <c r="J518" s="8">
        <v>168.75</v>
      </c>
      <c r="K518" s="8">
        <v>78.3</v>
      </c>
      <c r="L518" s="10" t="s">
        <v>17</v>
      </c>
    </row>
    <row r="519" spans="1:12" x14ac:dyDescent="0.3">
      <c r="A519" s="5" t="s">
        <v>1006</v>
      </c>
      <c r="B519" s="6">
        <v>45797</v>
      </c>
      <c r="C519" s="7" t="s">
        <v>496</v>
      </c>
      <c r="D519" s="7" t="s">
        <v>20</v>
      </c>
      <c r="E519" s="7" t="s">
        <v>52</v>
      </c>
      <c r="F519" s="7" t="s">
        <v>39</v>
      </c>
      <c r="G519" s="7">
        <v>2</v>
      </c>
      <c r="H519" s="8">
        <v>57.59</v>
      </c>
      <c r="I519" s="9">
        <v>25</v>
      </c>
      <c r="J519" s="8">
        <v>86.39</v>
      </c>
      <c r="K519" s="8">
        <v>25.75</v>
      </c>
      <c r="L519" s="10" t="s">
        <v>17</v>
      </c>
    </row>
    <row r="520" spans="1:12" x14ac:dyDescent="0.3">
      <c r="A520" s="5" t="s">
        <v>1007</v>
      </c>
      <c r="B520" s="6">
        <v>45333</v>
      </c>
      <c r="C520" s="7" t="s">
        <v>1008</v>
      </c>
      <c r="D520" s="7" t="s">
        <v>20</v>
      </c>
      <c r="E520" s="7" t="s">
        <v>187</v>
      </c>
      <c r="F520" s="7" t="s">
        <v>75</v>
      </c>
      <c r="G520" s="7">
        <v>1</v>
      </c>
      <c r="H520" s="8">
        <v>39.17</v>
      </c>
      <c r="I520" s="9">
        <v>5</v>
      </c>
      <c r="J520" s="8">
        <v>37.21</v>
      </c>
      <c r="K520" s="8">
        <v>10.91</v>
      </c>
      <c r="L520" s="10" t="s">
        <v>23</v>
      </c>
    </row>
    <row r="521" spans="1:12" x14ac:dyDescent="0.3">
      <c r="A521" s="5" t="s">
        <v>1009</v>
      </c>
      <c r="B521" s="6">
        <v>45818</v>
      </c>
      <c r="C521" s="7" t="s">
        <v>1010</v>
      </c>
      <c r="D521" s="7" t="s">
        <v>26</v>
      </c>
      <c r="E521" s="7" t="s">
        <v>187</v>
      </c>
      <c r="F521" s="7" t="s">
        <v>75</v>
      </c>
      <c r="G521" s="7">
        <v>2</v>
      </c>
      <c r="H521" s="8">
        <v>16.43</v>
      </c>
      <c r="I521" s="9">
        <v>0</v>
      </c>
      <c r="J521" s="8">
        <v>32.86</v>
      </c>
      <c r="K521" s="8">
        <v>5.53</v>
      </c>
      <c r="L521" s="10" t="s">
        <v>34</v>
      </c>
    </row>
    <row r="522" spans="1:12" x14ac:dyDescent="0.3">
      <c r="A522" s="5" t="s">
        <v>1011</v>
      </c>
      <c r="B522" s="6">
        <v>45448</v>
      </c>
      <c r="C522" s="7" t="s">
        <v>496</v>
      </c>
      <c r="D522" s="7" t="s">
        <v>37</v>
      </c>
      <c r="E522" s="7" t="s">
        <v>30</v>
      </c>
      <c r="F522" s="7" t="s">
        <v>16</v>
      </c>
      <c r="G522" s="7">
        <v>1</v>
      </c>
      <c r="H522" s="8">
        <v>131.80000000000001</v>
      </c>
      <c r="I522" s="9">
        <v>25</v>
      </c>
      <c r="J522" s="8">
        <v>98.85</v>
      </c>
      <c r="K522" s="8">
        <v>18.079999999999998</v>
      </c>
      <c r="L522" s="10" t="s">
        <v>17</v>
      </c>
    </row>
    <row r="523" spans="1:12" x14ac:dyDescent="0.3">
      <c r="A523" s="5" t="s">
        <v>1012</v>
      </c>
      <c r="B523" s="6">
        <v>45547</v>
      </c>
      <c r="C523" s="7" t="s">
        <v>1013</v>
      </c>
      <c r="D523" s="7" t="s">
        <v>14</v>
      </c>
      <c r="E523" s="7" t="s">
        <v>111</v>
      </c>
      <c r="F523" s="7" t="s">
        <v>49</v>
      </c>
      <c r="G523" s="7">
        <v>1</v>
      </c>
      <c r="H523" s="8">
        <v>44.29</v>
      </c>
      <c r="I523" s="9">
        <v>5</v>
      </c>
      <c r="J523" s="8">
        <v>42.08</v>
      </c>
      <c r="K523" s="8">
        <v>14.63</v>
      </c>
      <c r="L523" s="10" t="s">
        <v>23</v>
      </c>
    </row>
    <row r="524" spans="1:12" x14ac:dyDescent="0.3">
      <c r="A524" s="5" t="s">
        <v>1014</v>
      </c>
      <c r="B524" s="6">
        <v>45613</v>
      </c>
      <c r="C524" s="7" t="s">
        <v>1015</v>
      </c>
      <c r="D524" s="7" t="s">
        <v>26</v>
      </c>
      <c r="E524" s="7" t="s">
        <v>69</v>
      </c>
      <c r="F524" s="7" t="s">
        <v>39</v>
      </c>
      <c r="G524" s="7">
        <v>2</v>
      </c>
      <c r="H524" s="8">
        <v>64.260000000000005</v>
      </c>
      <c r="I524" s="9">
        <v>0</v>
      </c>
      <c r="J524" s="8">
        <v>128.52000000000001</v>
      </c>
      <c r="K524" s="8">
        <v>43.56</v>
      </c>
      <c r="L524" s="10" t="s">
        <v>23</v>
      </c>
    </row>
    <row r="525" spans="1:12" x14ac:dyDescent="0.3">
      <c r="A525" s="5" t="s">
        <v>1016</v>
      </c>
      <c r="B525" s="6">
        <v>45589</v>
      </c>
      <c r="C525" s="7" t="s">
        <v>1017</v>
      </c>
      <c r="D525" s="7" t="s">
        <v>37</v>
      </c>
      <c r="E525" s="7" t="s">
        <v>21</v>
      </c>
      <c r="F525" s="7" t="s">
        <v>22</v>
      </c>
      <c r="G525" s="7">
        <v>3</v>
      </c>
      <c r="H525" s="8">
        <v>22.03</v>
      </c>
      <c r="I525" s="9">
        <v>5</v>
      </c>
      <c r="J525" s="8">
        <v>62.79</v>
      </c>
      <c r="K525" s="8">
        <v>33.01</v>
      </c>
      <c r="L525" s="10" t="s">
        <v>17</v>
      </c>
    </row>
    <row r="526" spans="1:12" x14ac:dyDescent="0.3">
      <c r="A526" s="5" t="s">
        <v>1018</v>
      </c>
      <c r="B526" s="6">
        <v>45962</v>
      </c>
      <c r="C526" s="7" t="s">
        <v>933</v>
      </c>
      <c r="D526" s="7" t="s">
        <v>42</v>
      </c>
      <c r="E526" s="7" t="s">
        <v>502</v>
      </c>
      <c r="F526" s="7" t="s">
        <v>22</v>
      </c>
      <c r="G526" s="7">
        <v>1</v>
      </c>
      <c r="H526" s="8">
        <v>14.05</v>
      </c>
      <c r="I526" s="9">
        <v>10</v>
      </c>
      <c r="J526" s="8">
        <v>12.65</v>
      </c>
      <c r="K526" s="8">
        <v>7.09</v>
      </c>
      <c r="L526" s="10" t="s">
        <v>17</v>
      </c>
    </row>
    <row r="527" spans="1:12" x14ac:dyDescent="0.3">
      <c r="A527" s="5" t="s">
        <v>1019</v>
      </c>
      <c r="B527" s="6">
        <v>45555</v>
      </c>
      <c r="C527" s="7" t="s">
        <v>664</v>
      </c>
      <c r="D527" s="7" t="s">
        <v>14</v>
      </c>
      <c r="E527" s="7" t="s">
        <v>269</v>
      </c>
      <c r="F527" s="7" t="s">
        <v>75</v>
      </c>
      <c r="G527" s="7">
        <v>1</v>
      </c>
      <c r="H527" s="8">
        <v>10.93</v>
      </c>
      <c r="I527" s="9">
        <v>15</v>
      </c>
      <c r="J527" s="8">
        <v>9.2899999999999991</v>
      </c>
      <c r="K527" s="8">
        <v>1.83</v>
      </c>
      <c r="L527" s="10" t="s">
        <v>17</v>
      </c>
    </row>
    <row r="528" spans="1:12" x14ac:dyDescent="0.3">
      <c r="A528" s="5" t="s">
        <v>1020</v>
      </c>
      <c r="B528" s="6">
        <v>45756</v>
      </c>
      <c r="C528" s="7" t="s">
        <v>1015</v>
      </c>
      <c r="D528" s="7" t="s">
        <v>26</v>
      </c>
      <c r="E528" s="7" t="s">
        <v>48</v>
      </c>
      <c r="F528" s="7" t="s">
        <v>49</v>
      </c>
      <c r="G528" s="7">
        <v>4</v>
      </c>
      <c r="H528" s="8">
        <v>20.399999999999999</v>
      </c>
      <c r="I528" s="9">
        <v>20</v>
      </c>
      <c r="J528" s="8">
        <v>65.28</v>
      </c>
      <c r="K528" s="8">
        <v>35.17</v>
      </c>
      <c r="L528" s="10" t="s">
        <v>17</v>
      </c>
    </row>
    <row r="529" spans="1:12" x14ac:dyDescent="0.3">
      <c r="A529" s="5" t="s">
        <v>1021</v>
      </c>
      <c r="B529" s="6">
        <v>45344</v>
      </c>
      <c r="C529" s="7" t="s">
        <v>611</v>
      </c>
      <c r="D529" s="7" t="s">
        <v>26</v>
      </c>
      <c r="E529" s="7" t="s">
        <v>27</v>
      </c>
      <c r="F529" s="7" t="s">
        <v>22</v>
      </c>
      <c r="G529" s="7">
        <v>2</v>
      </c>
      <c r="H529" s="8">
        <v>29.21</v>
      </c>
      <c r="I529" s="9">
        <v>10</v>
      </c>
      <c r="J529" s="8">
        <v>52.58</v>
      </c>
      <c r="K529" s="8">
        <v>25.93</v>
      </c>
      <c r="L529" s="10" t="s">
        <v>17</v>
      </c>
    </row>
    <row r="530" spans="1:12" x14ac:dyDescent="0.3">
      <c r="A530" s="5" t="s">
        <v>1022</v>
      </c>
      <c r="B530" s="6">
        <v>45394</v>
      </c>
      <c r="C530" s="7" t="s">
        <v>1023</v>
      </c>
      <c r="D530" s="7" t="s">
        <v>37</v>
      </c>
      <c r="E530" s="7" t="s">
        <v>118</v>
      </c>
      <c r="F530" s="7" t="s">
        <v>49</v>
      </c>
      <c r="G530" s="7">
        <v>2</v>
      </c>
      <c r="H530" s="8">
        <v>71.84</v>
      </c>
      <c r="I530" s="9">
        <v>5</v>
      </c>
      <c r="J530" s="8">
        <v>136.5</v>
      </c>
      <c r="K530" s="8">
        <v>41.55</v>
      </c>
      <c r="L530" s="10" t="s">
        <v>23</v>
      </c>
    </row>
    <row r="531" spans="1:12" x14ac:dyDescent="0.3">
      <c r="A531" s="5" t="s">
        <v>1024</v>
      </c>
      <c r="B531" s="6">
        <v>45881</v>
      </c>
      <c r="C531" s="7" t="s">
        <v>510</v>
      </c>
      <c r="D531" s="7" t="s">
        <v>20</v>
      </c>
      <c r="E531" s="7" t="s">
        <v>80</v>
      </c>
      <c r="F531" s="7" t="s">
        <v>16</v>
      </c>
      <c r="G531" s="7">
        <v>2</v>
      </c>
      <c r="H531" s="8">
        <v>39.04</v>
      </c>
      <c r="I531" s="9">
        <v>0</v>
      </c>
      <c r="J531" s="8">
        <v>78.08</v>
      </c>
      <c r="K531" s="8">
        <v>10.7</v>
      </c>
      <c r="L531" s="10" t="s">
        <v>17</v>
      </c>
    </row>
    <row r="532" spans="1:12" x14ac:dyDescent="0.3">
      <c r="A532" s="5" t="s">
        <v>1025</v>
      </c>
      <c r="B532" s="6">
        <v>45849</v>
      </c>
      <c r="C532" s="7" t="s">
        <v>1026</v>
      </c>
      <c r="D532" s="7" t="s">
        <v>37</v>
      </c>
      <c r="E532" s="7" t="s">
        <v>52</v>
      </c>
      <c r="F532" s="7" t="s">
        <v>39</v>
      </c>
      <c r="G532" s="7">
        <v>1</v>
      </c>
      <c r="H532" s="8">
        <v>16.28</v>
      </c>
      <c r="I532" s="9">
        <v>20</v>
      </c>
      <c r="J532" s="8">
        <v>13.02</v>
      </c>
      <c r="K532" s="8">
        <v>3.21</v>
      </c>
      <c r="L532" s="10" t="s">
        <v>23</v>
      </c>
    </row>
    <row r="533" spans="1:12" x14ac:dyDescent="0.3">
      <c r="A533" s="5" t="s">
        <v>1027</v>
      </c>
      <c r="B533" s="6">
        <v>45704</v>
      </c>
      <c r="C533" s="7" t="s">
        <v>1028</v>
      </c>
      <c r="D533" s="7" t="s">
        <v>14</v>
      </c>
      <c r="E533" s="7" t="s">
        <v>83</v>
      </c>
      <c r="F533" s="7" t="s">
        <v>22</v>
      </c>
      <c r="G533" s="7">
        <v>4</v>
      </c>
      <c r="H533" s="8">
        <v>40.909999999999997</v>
      </c>
      <c r="I533" s="9">
        <v>0</v>
      </c>
      <c r="J533" s="8">
        <v>163.63999999999999</v>
      </c>
      <c r="K533" s="8">
        <v>78.709999999999994</v>
      </c>
      <c r="L533" s="10" t="s">
        <v>23</v>
      </c>
    </row>
    <row r="534" spans="1:12" x14ac:dyDescent="0.3">
      <c r="A534" s="5" t="s">
        <v>1029</v>
      </c>
      <c r="B534" s="6">
        <v>45451</v>
      </c>
      <c r="C534" s="7" t="s">
        <v>1030</v>
      </c>
      <c r="D534" s="7" t="s">
        <v>26</v>
      </c>
      <c r="E534" s="7" t="s">
        <v>55</v>
      </c>
      <c r="F534" s="7" t="s">
        <v>16</v>
      </c>
      <c r="G534" s="7">
        <v>2</v>
      </c>
      <c r="H534" s="8">
        <v>100.54</v>
      </c>
      <c r="I534" s="9">
        <v>20</v>
      </c>
      <c r="J534" s="8">
        <v>160.86000000000001</v>
      </c>
      <c r="K534" s="8">
        <v>28.91</v>
      </c>
      <c r="L534" s="10" t="s">
        <v>17</v>
      </c>
    </row>
    <row r="535" spans="1:12" x14ac:dyDescent="0.3">
      <c r="A535" s="5" t="s">
        <v>1031</v>
      </c>
      <c r="B535" s="6">
        <v>45385</v>
      </c>
      <c r="C535" s="7" t="s">
        <v>1032</v>
      </c>
      <c r="D535" s="7" t="s">
        <v>42</v>
      </c>
      <c r="E535" s="7" t="s">
        <v>151</v>
      </c>
      <c r="F535" s="7" t="s">
        <v>39</v>
      </c>
      <c r="G535" s="7">
        <v>1</v>
      </c>
      <c r="H535" s="8">
        <v>29.55</v>
      </c>
      <c r="I535" s="9">
        <v>15</v>
      </c>
      <c r="J535" s="8">
        <v>25.12</v>
      </c>
      <c r="K535" s="8">
        <v>9.69</v>
      </c>
      <c r="L535" s="10" t="s">
        <v>17</v>
      </c>
    </row>
    <row r="536" spans="1:12" x14ac:dyDescent="0.3">
      <c r="A536" s="5" t="s">
        <v>1033</v>
      </c>
      <c r="B536" s="6">
        <v>45570</v>
      </c>
      <c r="C536" s="7" t="s">
        <v>1034</v>
      </c>
      <c r="D536" s="7" t="s">
        <v>42</v>
      </c>
      <c r="E536" s="7" t="s">
        <v>94</v>
      </c>
      <c r="F536" s="7" t="s">
        <v>75</v>
      </c>
      <c r="G536" s="7">
        <v>3</v>
      </c>
      <c r="H536" s="8">
        <v>32.76</v>
      </c>
      <c r="I536" s="9">
        <v>0</v>
      </c>
      <c r="J536" s="8">
        <v>98.28</v>
      </c>
      <c r="K536" s="8">
        <v>17.850000000000001</v>
      </c>
      <c r="L536" s="10" t="s">
        <v>17</v>
      </c>
    </row>
    <row r="537" spans="1:12" x14ac:dyDescent="0.3">
      <c r="A537" s="5" t="s">
        <v>1035</v>
      </c>
      <c r="B537" s="6">
        <v>45789</v>
      </c>
      <c r="C537" s="7" t="s">
        <v>1036</v>
      </c>
      <c r="D537" s="7" t="s">
        <v>37</v>
      </c>
      <c r="E537" s="7" t="s">
        <v>91</v>
      </c>
      <c r="F537" s="7" t="s">
        <v>49</v>
      </c>
      <c r="G537" s="7">
        <v>2</v>
      </c>
      <c r="H537" s="8">
        <v>24.25</v>
      </c>
      <c r="I537" s="9">
        <v>15</v>
      </c>
      <c r="J537" s="8">
        <v>41.23</v>
      </c>
      <c r="K537" s="8">
        <v>16.559999999999999</v>
      </c>
      <c r="L537" s="10" t="s">
        <v>23</v>
      </c>
    </row>
    <row r="538" spans="1:12" x14ac:dyDescent="0.3">
      <c r="A538" s="5" t="s">
        <v>1037</v>
      </c>
      <c r="B538" s="6">
        <v>45409</v>
      </c>
      <c r="C538" s="7" t="s">
        <v>1038</v>
      </c>
      <c r="D538" s="7" t="s">
        <v>42</v>
      </c>
      <c r="E538" s="7" t="s">
        <v>38</v>
      </c>
      <c r="F538" s="7" t="s">
        <v>39</v>
      </c>
      <c r="G538" s="7">
        <v>2</v>
      </c>
      <c r="H538" s="8">
        <v>17.989999999999998</v>
      </c>
      <c r="I538" s="9">
        <v>10</v>
      </c>
      <c r="J538" s="8">
        <v>32.380000000000003</v>
      </c>
      <c r="K538" s="8">
        <v>12.8</v>
      </c>
      <c r="L538" s="10" t="s">
        <v>23</v>
      </c>
    </row>
    <row r="539" spans="1:12" x14ac:dyDescent="0.3">
      <c r="A539" s="5" t="s">
        <v>1039</v>
      </c>
      <c r="B539" s="6">
        <v>45648</v>
      </c>
      <c r="C539" s="7" t="s">
        <v>990</v>
      </c>
      <c r="D539" s="7" t="s">
        <v>20</v>
      </c>
      <c r="E539" s="7" t="s">
        <v>30</v>
      </c>
      <c r="F539" s="7" t="s">
        <v>16</v>
      </c>
      <c r="G539" s="7">
        <v>3</v>
      </c>
      <c r="H539" s="8">
        <v>55.23</v>
      </c>
      <c r="I539" s="9">
        <v>15</v>
      </c>
      <c r="J539" s="8">
        <v>140.84</v>
      </c>
      <c r="K539" s="8">
        <v>16.690000000000001</v>
      </c>
      <c r="L539" s="10" t="s">
        <v>17</v>
      </c>
    </row>
    <row r="540" spans="1:12" x14ac:dyDescent="0.3">
      <c r="A540" s="5" t="s">
        <v>1040</v>
      </c>
      <c r="B540" s="6">
        <v>45294</v>
      </c>
      <c r="C540" s="7" t="s">
        <v>1041</v>
      </c>
      <c r="D540" s="7" t="s">
        <v>14</v>
      </c>
      <c r="E540" s="7" t="s">
        <v>111</v>
      </c>
      <c r="F540" s="7" t="s">
        <v>49</v>
      </c>
      <c r="G540" s="7">
        <v>1</v>
      </c>
      <c r="H540" s="8">
        <v>46.03</v>
      </c>
      <c r="I540" s="9">
        <v>10</v>
      </c>
      <c r="J540" s="8">
        <v>41.43</v>
      </c>
      <c r="K540" s="8">
        <v>21.19</v>
      </c>
      <c r="L540" s="10" t="s">
        <v>17</v>
      </c>
    </row>
    <row r="541" spans="1:12" x14ac:dyDescent="0.3">
      <c r="A541" s="5" t="s">
        <v>1042</v>
      </c>
      <c r="B541" s="6">
        <v>46012</v>
      </c>
      <c r="C541" s="7" t="s">
        <v>1043</v>
      </c>
      <c r="D541" s="7" t="s">
        <v>14</v>
      </c>
      <c r="E541" s="7" t="s">
        <v>58</v>
      </c>
      <c r="F541" s="7" t="s">
        <v>49</v>
      </c>
      <c r="G541" s="7">
        <v>4</v>
      </c>
      <c r="H541" s="8">
        <v>53.56</v>
      </c>
      <c r="I541" s="9">
        <v>0</v>
      </c>
      <c r="J541" s="8">
        <v>214.24</v>
      </c>
      <c r="K541" s="8">
        <v>66.34</v>
      </c>
      <c r="L541" s="10" t="s">
        <v>17</v>
      </c>
    </row>
    <row r="542" spans="1:12" x14ac:dyDescent="0.3">
      <c r="A542" s="5" t="s">
        <v>1044</v>
      </c>
      <c r="B542" s="6">
        <v>45754</v>
      </c>
      <c r="C542" s="7" t="s">
        <v>1045</v>
      </c>
      <c r="D542" s="7" t="s">
        <v>42</v>
      </c>
      <c r="E542" s="7" t="s">
        <v>151</v>
      </c>
      <c r="F542" s="7" t="s">
        <v>39</v>
      </c>
      <c r="G542" s="7">
        <v>3</v>
      </c>
      <c r="H542" s="8">
        <v>67.36</v>
      </c>
      <c r="I542" s="9">
        <v>0</v>
      </c>
      <c r="J542" s="8">
        <v>202.08</v>
      </c>
      <c r="K542" s="8">
        <v>80.58</v>
      </c>
      <c r="L542" s="10" t="s">
        <v>17</v>
      </c>
    </row>
    <row r="543" spans="1:12" x14ac:dyDescent="0.3">
      <c r="A543" s="5" t="s">
        <v>1046</v>
      </c>
      <c r="B543" s="6">
        <v>45626</v>
      </c>
      <c r="C543" s="7" t="s">
        <v>1047</v>
      </c>
      <c r="D543" s="7" t="s">
        <v>26</v>
      </c>
      <c r="E543" s="7" t="s">
        <v>556</v>
      </c>
      <c r="F543" s="7" t="s">
        <v>49</v>
      </c>
      <c r="G543" s="7">
        <v>1</v>
      </c>
      <c r="H543" s="8">
        <v>82.02</v>
      </c>
      <c r="I543" s="9">
        <v>10</v>
      </c>
      <c r="J543" s="8">
        <v>73.819999999999993</v>
      </c>
      <c r="K543" s="8">
        <v>35.1</v>
      </c>
      <c r="L543" s="10" t="s">
        <v>23</v>
      </c>
    </row>
    <row r="544" spans="1:12" x14ac:dyDescent="0.3">
      <c r="A544" s="5" t="s">
        <v>1048</v>
      </c>
      <c r="B544" s="6">
        <v>45302</v>
      </c>
      <c r="C544" s="7" t="s">
        <v>239</v>
      </c>
      <c r="D544" s="7" t="s">
        <v>42</v>
      </c>
      <c r="E544" s="7" t="s">
        <v>118</v>
      </c>
      <c r="F544" s="7" t="s">
        <v>49</v>
      </c>
      <c r="G544" s="7">
        <v>5</v>
      </c>
      <c r="H544" s="8">
        <v>26.63</v>
      </c>
      <c r="I544" s="9">
        <v>15</v>
      </c>
      <c r="J544" s="8">
        <v>113.18</v>
      </c>
      <c r="K544" s="8">
        <v>47.3</v>
      </c>
      <c r="L544" s="10" t="s">
        <v>17</v>
      </c>
    </row>
    <row r="545" spans="1:12" x14ac:dyDescent="0.3">
      <c r="A545" s="5" t="s">
        <v>1049</v>
      </c>
      <c r="B545" s="6">
        <v>45594</v>
      </c>
      <c r="C545" s="7" t="s">
        <v>1050</v>
      </c>
      <c r="D545" s="7" t="s">
        <v>26</v>
      </c>
      <c r="E545" s="7" t="s">
        <v>69</v>
      </c>
      <c r="F545" s="7" t="s">
        <v>39</v>
      </c>
      <c r="G545" s="7">
        <v>1</v>
      </c>
      <c r="H545" s="8">
        <v>35.33</v>
      </c>
      <c r="I545" s="9">
        <v>0</v>
      </c>
      <c r="J545" s="8">
        <v>35.33</v>
      </c>
      <c r="K545" s="8">
        <v>8.99</v>
      </c>
      <c r="L545" s="10" t="s">
        <v>17</v>
      </c>
    </row>
    <row r="546" spans="1:12" x14ac:dyDescent="0.3">
      <c r="A546" s="5" t="s">
        <v>1051</v>
      </c>
      <c r="B546" s="6">
        <v>45293</v>
      </c>
      <c r="C546" s="7" t="s">
        <v>575</v>
      </c>
      <c r="D546" s="7" t="s">
        <v>26</v>
      </c>
      <c r="E546" s="7" t="s">
        <v>151</v>
      </c>
      <c r="F546" s="7" t="s">
        <v>39</v>
      </c>
      <c r="G546" s="7">
        <v>4</v>
      </c>
      <c r="H546" s="8">
        <v>18.87</v>
      </c>
      <c r="I546" s="9">
        <v>0</v>
      </c>
      <c r="J546" s="8">
        <v>75.48</v>
      </c>
      <c r="K546" s="8">
        <v>15.21</v>
      </c>
      <c r="L546" s="10" t="s">
        <v>17</v>
      </c>
    </row>
    <row r="547" spans="1:12" x14ac:dyDescent="0.3">
      <c r="A547" s="5" t="s">
        <v>1052</v>
      </c>
      <c r="B547" s="6">
        <v>45725</v>
      </c>
      <c r="C547" s="7" t="s">
        <v>113</v>
      </c>
      <c r="D547" s="7" t="s">
        <v>42</v>
      </c>
      <c r="E547" s="7" t="s">
        <v>286</v>
      </c>
      <c r="F547" s="7" t="s">
        <v>39</v>
      </c>
      <c r="G547" s="7">
        <v>1</v>
      </c>
      <c r="H547" s="8">
        <v>12.14</v>
      </c>
      <c r="I547" s="9">
        <v>15</v>
      </c>
      <c r="J547" s="8">
        <v>10.32</v>
      </c>
      <c r="K547" s="8">
        <v>3.32</v>
      </c>
      <c r="L547" s="10" t="s">
        <v>23</v>
      </c>
    </row>
    <row r="548" spans="1:12" x14ac:dyDescent="0.3">
      <c r="A548" s="5" t="s">
        <v>1053</v>
      </c>
      <c r="B548" s="6">
        <v>46004</v>
      </c>
      <c r="C548" s="7" t="s">
        <v>162</v>
      </c>
      <c r="D548" s="7" t="s">
        <v>26</v>
      </c>
      <c r="E548" s="7" t="s">
        <v>151</v>
      </c>
      <c r="F548" s="7" t="s">
        <v>39</v>
      </c>
      <c r="G548" s="7">
        <v>3</v>
      </c>
      <c r="H548" s="8">
        <v>75.459999999999994</v>
      </c>
      <c r="I548" s="9">
        <v>20</v>
      </c>
      <c r="J548" s="8">
        <v>181.1</v>
      </c>
      <c r="K548" s="8">
        <v>63.76</v>
      </c>
      <c r="L548" s="10" t="s">
        <v>23</v>
      </c>
    </row>
    <row r="549" spans="1:12" x14ac:dyDescent="0.3">
      <c r="A549" s="5" t="s">
        <v>1054</v>
      </c>
      <c r="B549" s="6">
        <v>45639</v>
      </c>
      <c r="C549" s="7" t="s">
        <v>1055</v>
      </c>
      <c r="D549" s="7" t="s">
        <v>42</v>
      </c>
      <c r="E549" s="7" t="s">
        <v>154</v>
      </c>
      <c r="F549" s="7" t="s">
        <v>39</v>
      </c>
      <c r="G549" s="7">
        <v>1</v>
      </c>
      <c r="H549" s="8">
        <v>63.69</v>
      </c>
      <c r="I549" s="9">
        <v>20</v>
      </c>
      <c r="J549" s="8">
        <v>50.95</v>
      </c>
      <c r="K549" s="8">
        <v>13.87</v>
      </c>
      <c r="L549" s="10" t="s">
        <v>17</v>
      </c>
    </row>
    <row r="550" spans="1:12" x14ac:dyDescent="0.3">
      <c r="A550" s="5" t="s">
        <v>1056</v>
      </c>
      <c r="B550" s="6">
        <v>45941</v>
      </c>
      <c r="C550" s="7" t="s">
        <v>281</v>
      </c>
      <c r="D550" s="7" t="s">
        <v>26</v>
      </c>
      <c r="E550" s="7" t="s">
        <v>61</v>
      </c>
      <c r="F550" s="7" t="s">
        <v>39</v>
      </c>
      <c r="G550" s="7">
        <v>1</v>
      </c>
      <c r="H550" s="8">
        <v>10.18</v>
      </c>
      <c r="I550" s="9">
        <v>0</v>
      </c>
      <c r="J550" s="8">
        <v>10.18</v>
      </c>
      <c r="K550" s="8">
        <v>2.3199999999999998</v>
      </c>
      <c r="L550" s="10" t="s">
        <v>17</v>
      </c>
    </row>
    <row r="551" spans="1:12" x14ac:dyDescent="0.3">
      <c r="A551" s="5" t="s">
        <v>1057</v>
      </c>
      <c r="B551" s="6">
        <v>45892</v>
      </c>
      <c r="C551" s="7" t="s">
        <v>1058</v>
      </c>
      <c r="D551" s="7" t="s">
        <v>26</v>
      </c>
      <c r="E551" s="7" t="s">
        <v>208</v>
      </c>
      <c r="F551" s="7" t="s">
        <v>22</v>
      </c>
      <c r="G551" s="7">
        <v>1</v>
      </c>
      <c r="H551" s="8">
        <v>34.950000000000003</v>
      </c>
      <c r="I551" s="9">
        <v>5</v>
      </c>
      <c r="J551" s="8">
        <v>33.200000000000003</v>
      </c>
      <c r="K551" s="8">
        <v>14.82</v>
      </c>
      <c r="L551" s="10" t="s">
        <v>23</v>
      </c>
    </row>
    <row r="552" spans="1:12" x14ac:dyDescent="0.3">
      <c r="A552" s="5" t="s">
        <v>1059</v>
      </c>
      <c r="B552" s="6">
        <v>45998</v>
      </c>
      <c r="C552" s="7" t="s">
        <v>1060</v>
      </c>
      <c r="D552" s="7" t="s">
        <v>37</v>
      </c>
      <c r="E552" s="7" t="s">
        <v>74</v>
      </c>
      <c r="F552" s="7" t="s">
        <v>75</v>
      </c>
      <c r="G552" s="7">
        <v>4</v>
      </c>
      <c r="H552" s="8">
        <v>51.45</v>
      </c>
      <c r="I552" s="9">
        <v>0</v>
      </c>
      <c r="J552" s="8">
        <v>205.8</v>
      </c>
      <c r="K552" s="8">
        <v>44.37</v>
      </c>
      <c r="L552" s="10" t="s">
        <v>23</v>
      </c>
    </row>
    <row r="553" spans="1:12" x14ac:dyDescent="0.3">
      <c r="A553" s="5" t="s">
        <v>1061</v>
      </c>
      <c r="B553" s="6">
        <v>45878</v>
      </c>
      <c r="C553" s="7" t="s">
        <v>1062</v>
      </c>
      <c r="D553" s="7" t="s">
        <v>14</v>
      </c>
      <c r="E553" s="7" t="s">
        <v>30</v>
      </c>
      <c r="F553" s="7" t="s">
        <v>16</v>
      </c>
      <c r="G553" s="7">
        <v>2</v>
      </c>
      <c r="H553" s="8">
        <v>86.94</v>
      </c>
      <c r="I553" s="9">
        <v>5</v>
      </c>
      <c r="J553" s="8">
        <v>165.19</v>
      </c>
      <c r="K553" s="8">
        <v>31.57</v>
      </c>
      <c r="L553" s="10" t="s">
        <v>34</v>
      </c>
    </row>
    <row r="554" spans="1:12" x14ac:dyDescent="0.3">
      <c r="A554" s="5" t="s">
        <v>1063</v>
      </c>
      <c r="B554" s="6">
        <v>45322</v>
      </c>
      <c r="C554" s="7" t="s">
        <v>1064</v>
      </c>
      <c r="D554" s="7" t="s">
        <v>14</v>
      </c>
      <c r="E554" s="7" t="s">
        <v>74</v>
      </c>
      <c r="F554" s="7" t="s">
        <v>75</v>
      </c>
      <c r="G554" s="7">
        <v>2</v>
      </c>
      <c r="H554" s="8">
        <v>14.89</v>
      </c>
      <c r="I554" s="9">
        <v>10</v>
      </c>
      <c r="J554" s="8">
        <v>26.8</v>
      </c>
      <c r="K554" s="8">
        <v>7.8</v>
      </c>
      <c r="L554" s="10" t="s">
        <v>17</v>
      </c>
    </row>
    <row r="555" spans="1:12" x14ac:dyDescent="0.3">
      <c r="A555" s="5" t="s">
        <v>1065</v>
      </c>
      <c r="B555" s="6">
        <v>45951</v>
      </c>
      <c r="C555" s="7" t="s">
        <v>124</v>
      </c>
      <c r="D555" s="7" t="s">
        <v>37</v>
      </c>
      <c r="E555" s="7" t="s">
        <v>222</v>
      </c>
      <c r="F555" s="7" t="s">
        <v>22</v>
      </c>
      <c r="G555" s="7">
        <v>2</v>
      </c>
      <c r="H555" s="8">
        <v>49.12</v>
      </c>
      <c r="I555" s="9">
        <v>5</v>
      </c>
      <c r="J555" s="8">
        <v>93.33</v>
      </c>
      <c r="K555" s="8">
        <v>55.73</v>
      </c>
      <c r="L555" s="10" t="s">
        <v>23</v>
      </c>
    </row>
    <row r="556" spans="1:12" x14ac:dyDescent="0.3">
      <c r="A556" s="5" t="s">
        <v>1066</v>
      </c>
      <c r="B556" s="6">
        <v>45805</v>
      </c>
      <c r="C556" s="7" t="s">
        <v>308</v>
      </c>
      <c r="D556" s="7" t="s">
        <v>26</v>
      </c>
      <c r="E556" s="7" t="s">
        <v>208</v>
      </c>
      <c r="F556" s="7" t="s">
        <v>22</v>
      </c>
      <c r="G556" s="7">
        <v>1</v>
      </c>
      <c r="H556" s="8">
        <v>36.840000000000003</v>
      </c>
      <c r="I556" s="9">
        <v>0</v>
      </c>
      <c r="J556" s="8">
        <v>36.840000000000003</v>
      </c>
      <c r="K556" s="8">
        <v>23.37</v>
      </c>
      <c r="L556" s="10" t="s">
        <v>23</v>
      </c>
    </row>
    <row r="557" spans="1:12" x14ac:dyDescent="0.3">
      <c r="A557" s="5" t="s">
        <v>1067</v>
      </c>
      <c r="B557" s="6">
        <v>45351</v>
      </c>
      <c r="C557" s="7" t="s">
        <v>1068</v>
      </c>
      <c r="D557" s="7" t="s">
        <v>20</v>
      </c>
      <c r="E557" s="7" t="s">
        <v>246</v>
      </c>
      <c r="F557" s="7" t="s">
        <v>75</v>
      </c>
      <c r="G557" s="7">
        <v>3</v>
      </c>
      <c r="H557" s="8">
        <v>15.54</v>
      </c>
      <c r="I557" s="9">
        <v>0</v>
      </c>
      <c r="J557" s="8">
        <v>46.62</v>
      </c>
      <c r="K557" s="8">
        <v>11.91</v>
      </c>
      <c r="L557" s="10" t="s">
        <v>17</v>
      </c>
    </row>
    <row r="558" spans="1:12" x14ac:dyDescent="0.3">
      <c r="A558" s="5" t="s">
        <v>1069</v>
      </c>
      <c r="B558" s="6">
        <v>45964</v>
      </c>
      <c r="C558" s="7" t="s">
        <v>66</v>
      </c>
      <c r="D558" s="7" t="s">
        <v>37</v>
      </c>
      <c r="E558" s="7" t="s">
        <v>208</v>
      </c>
      <c r="F558" s="7" t="s">
        <v>22</v>
      </c>
      <c r="G558" s="7">
        <v>1</v>
      </c>
      <c r="H558" s="8">
        <v>7.53</v>
      </c>
      <c r="I558" s="9">
        <v>10</v>
      </c>
      <c r="J558" s="8">
        <v>6.78</v>
      </c>
      <c r="K558" s="8">
        <v>4.1399999999999997</v>
      </c>
      <c r="L558" s="10" t="s">
        <v>17</v>
      </c>
    </row>
    <row r="559" spans="1:12" x14ac:dyDescent="0.3">
      <c r="A559" s="5" t="s">
        <v>1070</v>
      </c>
      <c r="B559" s="6">
        <v>45939</v>
      </c>
      <c r="C559" s="7" t="s">
        <v>941</v>
      </c>
      <c r="D559" s="7" t="s">
        <v>14</v>
      </c>
      <c r="E559" s="7" t="s">
        <v>187</v>
      </c>
      <c r="F559" s="7" t="s">
        <v>75</v>
      </c>
      <c r="G559" s="7">
        <v>2</v>
      </c>
      <c r="H559" s="8">
        <v>22.86</v>
      </c>
      <c r="I559" s="9">
        <v>10</v>
      </c>
      <c r="J559" s="8">
        <v>41.15</v>
      </c>
      <c r="K559" s="8">
        <v>11.75</v>
      </c>
      <c r="L559" s="10" t="s">
        <v>34</v>
      </c>
    </row>
    <row r="560" spans="1:12" x14ac:dyDescent="0.3">
      <c r="A560" s="5" t="s">
        <v>1071</v>
      </c>
      <c r="B560" s="6">
        <v>45782</v>
      </c>
      <c r="C560" s="7" t="s">
        <v>1072</v>
      </c>
      <c r="D560" s="7" t="s">
        <v>42</v>
      </c>
      <c r="E560" s="7" t="s">
        <v>111</v>
      </c>
      <c r="F560" s="7" t="s">
        <v>49</v>
      </c>
      <c r="G560" s="7">
        <v>2</v>
      </c>
      <c r="H560" s="8">
        <v>67.790000000000006</v>
      </c>
      <c r="I560" s="9">
        <v>5</v>
      </c>
      <c r="J560" s="8">
        <v>128.80000000000001</v>
      </c>
      <c r="K560" s="8">
        <v>68.5</v>
      </c>
      <c r="L560" s="10" t="s">
        <v>23</v>
      </c>
    </row>
    <row r="561" spans="1:12" x14ac:dyDescent="0.3">
      <c r="A561" s="5" t="s">
        <v>1073</v>
      </c>
      <c r="B561" s="6">
        <v>45976</v>
      </c>
      <c r="C561" s="7" t="s">
        <v>1074</v>
      </c>
      <c r="D561" s="7" t="s">
        <v>20</v>
      </c>
      <c r="E561" s="7" t="s">
        <v>94</v>
      </c>
      <c r="F561" s="7" t="s">
        <v>75</v>
      </c>
      <c r="G561" s="7">
        <v>1</v>
      </c>
      <c r="H561" s="8">
        <v>45.68</v>
      </c>
      <c r="I561" s="9">
        <v>0</v>
      </c>
      <c r="J561" s="8">
        <v>45.68</v>
      </c>
      <c r="K561" s="8">
        <v>9.1300000000000008</v>
      </c>
      <c r="L561" s="10" t="s">
        <v>17</v>
      </c>
    </row>
    <row r="562" spans="1:12" x14ac:dyDescent="0.3">
      <c r="A562" s="5" t="s">
        <v>1075</v>
      </c>
      <c r="B562" s="6">
        <v>45412</v>
      </c>
      <c r="C562" s="7" t="s">
        <v>1076</v>
      </c>
      <c r="D562" s="7" t="s">
        <v>42</v>
      </c>
      <c r="E562" s="7" t="s">
        <v>88</v>
      </c>
      <c r="F562" s="7" t="s">
        <v>22</v>
      </c>
      <c r="G562" s="7">
        <v>3</v>
      </c>
      <c r="H562" s="8">
        <v>35.96</v>
      </c>
      <c r="I562" s="9">
        <v>0</v>
      </c>
      <c r="J562" s="8">
        <v>107.88</v>
      </c>
      <c r="K562" s="8">
        <v>59.17</v>
      </c>
      <c r="L562" s="10" t="s">
        <v>17</v>
      </c>
    </row>
    <row r="563" spans="1:12" x14ac:dyDescent="0.3">
      <c r="A563" s="5" t="s">
        <v>1077</v>
      </c>
      <c r="B563" s="6">
        <v>45510</v>
      </c>
      <c r="C563" s="7" t="s">
        <v>1078</v>
      </c>
      <c r="D563" s="7" t="s">
        <v>42</v>
      </c>
      <c r="E563" s="7" t="s">
        <v>141</v>
      </c>
      <c r="F563" s="7" t="s">
        <v>16</v>
      </c>
      <c r="G563" s="7">
        <v>4</v>
      </c>
      <c r="H563" s="8">
        <v>135.02000000000001</v>
      </c>
      <c r="I563" s="9">
        <v>5</v>
      </c>
      <c r="J563" s="8">
        <v>513.08000000000004</v>
      </c>
      <c r="K563" s="8">
        <v>117.74</v>
      </c>
      <c r="L563" s="10" t="s">
        <v>34</v>
      </c>
    </row>
    <row r="564" spans="1:12" x14ac:dyDescent="0.3">
      <c r="A564" s="5" t="s">
        <v>1079</v>
      </c>
      <c r="B564" s="6">
        <v>45930</v>
      </c>
      <c r="C564" s="7" t="s">
        <v>1080</v>
      </c>
      <c r="D564" s="7" t="s">
        <v>26</v>
      </c>
      <c r="E564" s="7" t="s">
        <v>21</v>
      </c>
      <c r="F564" s="7" t="s">
        <v>22</v>
      </c>
      <c r="G564" s="7">
        <v>5</v>
      </c>
      <c r="H564" s="8">
        <v>27.13</v>
      </c>
      <c r="I564" s="9">
        <v>0</v>
      </c>
      <c r="J564" s="8">
        <v>135.65</v>
      </c>
      <c r="K564" s="8">
        <v>75.12</v>
      </c>
      <c r="L564" s="10" t="s">
        <v>17</v>
      </c>
    </row>
    <row r="565" spans="1:12" x14ac:dyDescent="0.3">
      <c r="A565" s="5" t="s">
        <v>1081</v>
      </c>
      <c r="B565" s="6">
        <v>45911</v>
      </c>
      <c r="C565" s="7" t="s">
        <v>1082</v>
      </c>
      <c r="D565" s="7" t="s">
        <v>37</v>
      </c>
      <c r="E565" s="7" t="s">
        <v>324</v>
      </c>
      <c r="F565" s="7" t="s">
        <v>16</v>
      </c>
      <c r="G565" s="7">
        <v>4</v>
      </c>
      <c r="H565" s="8">
        <v>95.05</v>
      </c>
      <c r="I565" s="9">
        <v>5</v>
      </c>
      <c r="J565" s="8">
        <v>361.19</v>
      </c>
      <c r="K565" s="8">
        <v>65.7</v>
      </c>
      <c r="L565" s="10" t="s">
        <v>23</v>
      </c>
    </row>
    <row r="566" spans="1:12" x14ac:dyDescent="0.3">
      <c r="A566" s="5" t="s">
        <v>1083</v>
      </c>
      <c r="B566" s="6">
        <v>45957</v>
      </c>
      <c r="C566" s="7" t="s">
        <v>698</v>
      </c>
      <c r="D566" s="7" t="s">
        <v>37</v>
      </c>
      <c r="E566" s="7" t="s">
        <v>30</v>
      </c>
      <c r="F566" s="7" t="s">
        <v>16</v>
      </c>
      <c r="G566" s="7">
        <v>4</v>
      </c>
      <c r="H566" s="8">
        <v>136.08000000000001</v>
      </c>
      <c r="I566" s="9">
        <v>0</v>
      </c>
      <c r="J566" s="8">
        <v>544.32000000000005</v>
      </c>
      <c r="K566" s="8">
        <v>64.180000000000007</v>
      </c>
      <c r="L566" s="10" t="s">
        <v>23</v>
      </c>
    </row>
    <row r="567" spans="1:12" x14ac:dyDescent="0.3">
      <c r="A567" s="5" t="s">
        <v>1084</v>
      </c>
      <c r="B567" s="6">
        <v>45947</v>
      </c>
      <c r="C567" s="7" t="s">
        <v>1085</v>
      </c>
      <c r="D567" s="7" t="s">
        <v>14</v>
      </c>
      <c r="E567" s="7" t="s">
        <v>136</v>
      </c>
      <c r="F567" s="7" t="s">
        <v>75</v>
      </c>
      <c r="G567" s="7">
        <v>2</v>
      </c>
      <c r="H567" s="8">
        <v>48.08</v>
      </c>
      <c r="I567" s="9">
        <v>15</v>
      </c>
      <c r="J567" s="8">
        <v>81.739999999999995</v>
      </c>
      <c r="K567" s="8">
        <v>28.36</v>
      </c>
      <c r="L567" s="10" t="s">
        <v>34</v>
      </c>
    </row>
    <row r="568" spans="1:12" x14ac:dyDescent="0.3">
      <c r="A568" s="5" t="s">
        <v>1086</v>
      </c>
      <c r="B568" s="6">
        <v>45340</v>
      </c>
      <c r="C568" s="7" t="s">
        <v>1087</v>
      </c>
      <c r="D568" s="7" t="s">
        <v>20</v>
      </c>
      <c r="E568" s="7" t="s">
        <v>291</v>
      </c>
      <c r="F568" s="7" t="s">
        <v>22</v>
      </c>
      <c r="G568" s="7">
        <v>1</v>
      </c>
      <c r="H568" s="8">
        <v>15.62</v>
      </c>
      <c r="I568" s="9">
        <v>10</v>
      </c>
      <c r="J568" s="8">
        <v>14.06</v>
      </c>
      <c r="K568" s="8">
        <v>5.88</v>
      </c>
      <c r="L568" s="10" t="s">
        <v>23</v>
      </c>
    </row>
    <row r="569" spans="1:12" x14ac:dyDescent="0.3">
      <c r="A569" s="5" t="s">
        <v>1088</v>
      </c>
      <c r="B569" s="6">
        <v>45813</v>
      </c>
      <c r="C569" s="7" t="s">
        <v>1089</v>
      </c>
      <c r="D569" s="7" t="s">
        <v>20</v>
      </c>
      <c r="E569" s="7" t="s">
        <v>460</v>
      </c>
      <c r="F569" s="7" t="s">
        <v>75</v>
      </c>
      <c r="G569" s="7">
        <v>1</v>
      </c>
      <c r="H569" s="8">
        <v>30.02</v>
      </c>
      <c r="I569" s="9">
        <v>0</v>
      </c>
      <c r="J569" s="8">
        <v>30.02</v>
      </c>
      <c r="K569" s="8">
        <v>8.24</v>
      </c>
      <c r="L569" s="10" t="s">
        <v>23</v>
      </c>
    </row>
    <row r="570" spans="1:12" x14ac:dyDescent="0.3">
      <c r="A570" s="5" t="s">
        <v>1090</v>
      </c>
      <c r="B570" s="6">
        <v>45785</v>
      </c>
      <c r="C570" s="7" t="s">
        <v>508</v>
      </c>
      <c r="D570" s="7" t="s">
        <v>20</v>
      </c>
      <c r="E570" s="7" t="s">
        <v>69</v>
      </c>
      <c r="F570" s="7" t="s">
        <v>39</v>
      </c>
      <c r="G570" s="7">
        <v>2</v>
      </c>
      <c r="H570" s="8">
        <v>58.48</v>
      </c>
      <c r="I570" s="9">
        <v>0</v>
      </c>
      <c r="J570" s="8">
        <v>116.96</v>
      </c>
      <c r="K570" s="8">
        <v>33.01</v>
      </c>
      <c r="L570" s="10" t="s">
        <v>23</v>
      </c>
    </row>
    <row r="571" spans="1:12" x14ac:dyDescent="0.3">
      <c r="A571" s="5" t="s">
        <v>1091</v>
      </c>
      <c r="B571" s="6">
        <v>45996</v>
      </c>
      <c r="C571" s="7" t="s">
        <v>1092</v>
      </c>
      <c r="D571" s="7" t="s">
        <v>37</v>
      </c>
      <c r="E571" s="7" t="s">
        <v>502</v>
      </c>
      <c r="F571" s="7" t="s">
        <v>22</v>
      </c>
      <c r="G571" s="7">
        <v>1</v>
      </c>
      <c r="H571" s="8">
        <v>29.24</v>
      </c>
      <c r="I571" s="9">
        <v>5</v>
      </c>
      <c r="J571" s="8">
        <v>27.78</v>
      </c>
      <c r="K571" s="8">
        <v>12.67</v>
      </c>
      <c r="L571" s="10" t="s">
        <v>23</v>
      </c>
    </row>
    <row r="572" spans="1:12" x14ac:dyDescent="0.3">
      <c r="A572" s="5" t="s">
        <v>1093</v>
      </c>
      <c r="B572" s="6">
        <v>45789</v>
      </c>
      <c r="C572" s="7" t="s">
        <v>1094</v>
      </c>
      <c r="D572" s="7" t="s">
        <v>14</v>
      </c>
      <c r="E572" s="7" t="s">
        <v>460</v>
      </c>
      <c r="F572" s="7" t="s">
        <v>75</v>
      </c>
      <c r="G572" s="7">
        <v>2</v>
      </c>
      <c r="H572" s="8">
        <v>17.579999999999998</v>
      </c>
      <c r="I572" s="9">
        <v>20</v>
      </c>
      <c r="J572" s="8">
        <v>28.13</v>
      </c>
      <c r="K572" s="8">
        <v>7.63</v>
      </c>
      <c r="L572" s="10" t="s">
        <v>17</v>
      </c>
    </row>
    <row r="573" spans="1:12" x14ac:dyDescent="0.3">
      <c r="A573" s="5" t="s">
        <v>1095</v>
      </c>
      <c r="B573" s="6">
        <v>45943</v>
      </c>
      <c r="C573" s="7" t="s">
        <v>1096</v>
      </c>
      <c r="D573" s="7" t="s">
        <v>26</v>
      </c>
      <c r="E573" s="7" t="s">
        <v>88</v>
      </c>
      <c r="F573" s="7" t="s">
        <v>22</v>
      </c>
      <c r="G573" s="7">
        <v>1</v>
      </c>
      <c r="H573" s="8">
        <v>9.92</v>
      </c>
      <c r="I573" s="9">
        <v>0</v>
      </c>
      <c r="J573" s="8">
        <v>9.92</v>
      </c>
      <c r="K573" s="8">
        <v>5.35</v>
      </c>
      <c r="L573" s="10" t="s">
        <v>23</v>
      </c>
    </row>
    <row r="574" spans="1:12" x14ac:dyDescent="0.3">
      <c r="A574" s="5" t="s">
        <v>1097</v>
      </c>
      <c r="B574" s="6">
        <v>45330</v>
      </c>
      <c r="C574" s="7" t="s">
        <v>1098</v>
      </c>
      <c r="D574" s="7" t="s">
        <v>42</v>
      </c>
      <c r="E574" s="7" t="s">
        <v>108</v>
      </c>
      <c r="F574" s="7" t="s">
        <v>75</v>
      </c>
      <c r="G574" s="7">
        <v>1</v>
      </c>
      <c r="H574" s="8">
        <v>38.03</v>
      </c>
      <c r="I574" s="9">
        <v>0</v>
      </c>
      <c r="J574" s="8">
        <v>38.03</v>
      </c>
      <c r="K574" s="8">
        <v>9.6199999999999992</v>
      </c>
      <c r="L574" s="10" t="s">
        <v>23</v>
      </c>
    </row>
    <row r="575" spans="1:12" x14ac:dyDescent="0.3">
      <c r="A575" s="5" t="s">
        <v>1099</v>
      </c>
      <c r="B575" s="6">
        <v>45990</v>
      </c>
      <c r="C575" s="7" t="s">
        <v>1100</v>
      </c>
      <c r="D575" s="7" t="s">
        <v>14</v>
      </c>
      <c r="E575" s="7" t="s">
        <v>69</v>
      </c>
      <c r="F575" s="7" t="s">
        <v>39</v>
      </c>
      <c r="G575" s="7">
        <v>2</v>
      </c>
      <c r="H575" s="8">
        <v>30.57</v>
      </c>
      <c r="I575" s="9">
        <v>5</v>
      </c>
      <c r="J575" s="8">
        <v>58.08</v>
      </c>
      <c r="K575" s="8">
        <v>15.95</v>
      </c>
      <c r="L575" s="10" t="s">
        <v>17</v>
      </c>
    </row>
    <row r="576" spans="1:12" x14ac:dyDescent="0.3">
      <c r="A576" s="5" t="s">
        <v>1101</v>
      </c>
      <c r="B576" s="6">
        <v>45787</v>
      </c>
      <c r="C576" s="7" t="s">
        <v>905</v>
      </c>
      <c r="D576" s="7" t="s">
        <v>14</v>
      </c>
      <c r="E576" s="7" t="s">
        <v>208</v>
      </c>
      <c r="F576" s="7" t="s">
        <v>22</v>
      </c>
      <c r="G576" s="7">
        <v>1</v>
      </c>
      <c r="H576" s="8">
        <v>22.58</v>
      </c>
      <c r="I576" s="9">
        <v>10</v>
      </c>
      <c r="J576" s="8">
        <v>20.32</v>
      </c>
      <c r="K576" s="8">
        <v>8.6999999999999993</v>
      </c>
      <c r="L576" s="10" t="s">
        <v>23</v>
      </c>
    </row>
    <row r="577" spans="1:12" x14ac:dyDescent="0.3">
      <c r="A577" s="5" t="s">
        <v>1102</v>
      </c>
      <c r="B577" s="6">
        <v>45374</v>
      </c>
      <c r="C577" s="7" t="s">
        <v>1103</v>
      </c>
      <c r="D577" s="7" t="s">
        <v>20</v>
      </c>
      <c r="E577" s="7" t="s">
        <v>74</v>
      </c>
      <c r="F577" s="7" t="s">
        <v>75</v>
      </c>
      <c r="G577" s="7">
        <v>1</v>
      </c>
      <c r="H577" s="8">
        <v>48.63</v>
      </c>
      <c r="I577" s="9">
        <v>15</v>
      </c>
      <c r="J577" s="8">
        <v>41.34</v>
      </c>
      <c r="K577" s="8">
        <v>9.15</v>
      </c>
      <c r="L577" s="10" t="s">
        <v>17</v>
      </c>
    </row>
    <row r="578" spans="1:12" x14ac:dyDescent="0.3">
      <c r="A578" s="5" t="s">
        <v>1104</v>
      </c>
      <c r="B578" s="6">
        <v>45294</v>
      </c>
      <c r="C578" s="7" t="s">
        <v>882</v>
      </c>
      <c r="D578" s="7" t="s">
        <v>14</v>
      </c>
      <c r="E578" s="7" t="s">
        <v>33</v>
      </c>
      <c r="F578" s="7" t="s">
        <v>16</v>
      </c>
      <c r="G578" s="7">
        <v>1</v>
      </c>
      <c r="H578" s="8">
        <v>133.26</v>
      </c>
      <c r="I578" s="9">
        <v>10</v>
      </c>
      <c r="J578" s="8">
        <v>119.93</v>
      </c>
      <c r="K578" s="8">
        <v>24.67</v>
      </c>
      <c r="L578" s="10" t="s">
        <v>17</v>
      </c>
    </row>
    <row r="579" spans="1:12" x14ac:dyDescent="0.3">
      <c r="A579" s="5" t="s">
        <v>1105</v>
      </c>
      <c r="B579" s="6">
        <v>45906</v>
      </c>
      <c r="C579" s="7" t="s">
        <v>203</v>
      </c>
      <c r="D579" s="7" t="s">
        <v>26</v>
      </c>
      <c r="E579" s="7" t="s">
        <v>30</v>
      </c>
      <c r="F579" s="7" t="s">
        <v>16</v>
      </c>
      <c r="G579" s="7">
        <v>1</v>
      </c>
      <c r="H579" s="8">
        <v>94.84</v>
      </c>
      <c r="I579" s="9">
        <v>5</v>
      </c>
      <c r="J579" s="8">
        <v>90.1</v>
      </c>
      <c r="K579" s="8">
        <v>21.14</v>
      </c>
      <c r="L579" s="10" t="s">
        <v>17</v>
      </c>
    </row>
    <row r="580" spans="1:12" x14ac:dyDescent="0.3">
      <c r="A580" s="5" t="s">
        <v>1106</v>
      </c>
      <c r="B580" s="6">
        <v>45295</v>
      </c>
      <c r="C580" s="7" t="s">
        <v>1107</v>
      </c>
      <c r="D580" s="7" t="s">
        <v>20</v>
      </c>
      <c r="E580" s="7" t="s">
        <v>94</v>
      </c>
      <c r="F580" s="7" t="s">
        <v>75</v>
      </c>
      <c r="G580" s="7">
        <v>3</v>
      </c>
      <c r="H580" s="8">
        <v>10.66</v>
      </c>
      <c r="I580" s="9">
        <v>10</v>
      </c>
      <c r="J580" s="8">
        <v>28.78</v>
      </c>
      <c r="K580" s="8">
        <v>4.4400000000000004</v>
      </c>
      <c r="L580" s="10" t="s">
        <v>17</v>
      </c>
    </row>
    <row r="581" spans="1:12" x14ac:dyDescent="0.3">
      <c r="A581" s="5" t="s">
        <v>1108</v>
      </c>
      <c r="B581" s="6">
        <v>45316</v>
      </c>
      <c r="C581" s="7" t="s">
        <v>195</v>
      </c>
      <c r="D581" s="7" t="s">
        <v>14</v>
      </c>
      <c r="E581" s="7" t="s">
        <v>94</v>
      </c>
      <c r="F581" s="7" t="s">
        <v>75</v>
      </c>
      <c r="G581" s="7">
        <v>2</v>
      </c>
      <c r="H581" s="8">
        <v>52.8</v>
      </c>
      <c r="I581" s="9">
        <v>10</v>
      </c>
      <c r="J581" s="8">
        <v>95.04</v>
      </c>
      <c r="K581" s="8">
        <v>17.66</v>
      </c>
      <c r="L581" s="10" t="s">
        <v>23</v>
      </c>
    </row>
    <row r="582" spans="1:12" x14ac:dyDescent="0.3">
      <c r="A582" s="5" t="s">
        <v>1109</v>
      </c>
      <c r="B582" s="6">
        <v>45448</v>
      </c>
      <c r="C582" s="7" t="s">
        <v>237</v>
      </c>
      <c r="D582" s="7" t="s">
        <v>37</v>
      </c>
      <c r="E582" s="7" t="s">
        <v>91</v>
      </c>
      <c r="F582" s="7" t="s">
        <v>49</v>
      </c>
      <c r="G582" s="7">
        <v>1</v>
      </c>
      <c r="H582" s="8">
        <v>88.48</v>
      </c>
      <c r="I582" s="9">
        <v>20</v>
      </c>
      <c r="J582" s="8">
        <v>70.78</v>
      </c>
      <c r="K582" s="8">
        <v>38.46</v>
      </c>
      <c r="L582" s="10" t="s">
        <v>23</v>
      </c>
    </row>
    <row r="583" spans="1:12" x14ac:dyDescent="0.3">
      <c r="A583" s="5" t="s">
        <v>1110</v>
      </c>
      <c r="B583" s="6">
        <v>45382</v>
      </c>
      <c r="C583" s="7" t="s">
        <v>1111</v>
      </c>
      <c r="D583" s="7" t="s">
        <v>37</v>
      </c>
      <c r="E583" s="7" t="s">
        <v>27</v>
      </c>
      <c r="F583" s="7" t="s">
        <v>22</v>
      </c>
      <c r="G583" s="7">
        <v>3</v>
      </c>
      <c r="H583" s="8">
        <v>48.98</v>
      </c>
      <c r="I583" s="9">
        <v>5</v>
      </c>
      <c r="J583" s="8">
        <v>139.59</v>
      </c>
      <c r="K583" s="8">
        <v>76.28</v>
      </c>
      <c r="L583" s="10" t="s">
        <v>17</v>
      </c>
    </row>
    <row r="584" spans="1:12" x14ac:dyDescent="0.3">
      <c r="A584" s="5" t="s">
        <v>1112</v>
      </c>
      <c r="B584" s="6">
        <v>45460</v>
      </c>
      <c r="C584" s="7" t="s">
        <v>1113</v>
      </c>
      <c r="D584" s="7" t="s">
        <v>42</v>
      </c>
      <c r="E584" s="7" t="s">
        <v>118</v>
      </c>
      <c r="F584" s="7" t="s">
        <v>49</v>
      </c>
      <c r="G584" s="7">
        <v>2</v>
      </c>
      <c r="H584" s="8">
        <v>70.23</v>
      </c>
      <c r="I584" s="9">
        <v>15</v>
      </c>
      <c r="J584" s="8">
        <v>119.39</v>
      </c>
      <c r="K584" s="8">
        <v>53.87</v>
      </c>
      <c r="L584" s="10" t="s">
        <v>23</v>
      </c>
    </row>
    <row r="585" spans="1:12" x14ac:dyDescent="0.3">
      <c r="A585" s="5" t="s">
        <v>1114</v>
      </c>
      <c r="B585" s="6">
        <v>45491</v>
      </c>
      <c r="C585" s="7" t="s">
        <v>1115</v>
      </c>
      <c r="D585" s="7" t="s">
        <v>20</v>
      </c>
      <c r="E585" s="7" t="s">
        <v>187</v>
      </c>
      <c r="F585" s="7" t="s">
        <v>75</v>
      </c>
      <c r="G585" s="7">
        <v>2</v>
      </c>
      <c r="H585" s="8">
        <v>17.25</v>
      </c>
      <c r="I585" s="9">
        <v>15</v>
      </c>
      <c r="J585" s="8">
        <v>29.33</v>
      </c>
      <c r="K585" s="8">
        <v>6.83</v>
      </c>
      <c r="L585" s="10" t="s">
        <v>17</v>
      </c>
    </row>
    <row r="586" spans="1:12" x14ac:dyDescent="0.3">
      <c r="A586" s="5" t="s">
        <v>1116</v>
      </c>
      <c r="B586" s="6">
        <v>45311</v>
      </c>
      <c r="C586" s="7" t="s">
        <v>914</v>
      </c>
      <c r="D586" s="7" t="s">
        <v>37</v>
      </c>
      <c r="E586" s="7" t="s">
        <v>15</v>
      </c>
      <c r="F586" s="7" t="s">
        <v>16</v>
      </c>
      <c r="G586" s="7">
        <v>2</v>
      </c>
      <c r="H586" s="8">
        <v>122.48</v>
      </c>
      <c r="I586" s="9">
        <v>10</v>
      </c>
      <c r="J586" s="8">
        <v>220.46</v>
      </c>
      <c r="K586" s="8">
        <v>21.3</v>
      </c>
      <c r="L586" s="10" t="s">
        <v>17</v>
      </c>
    </row>
    <row r="587" spans="1:12" x14ac:dyDescent="0.3">
      <c r="A587" s="5" t="s">
        <v>1117</v>
      </c>
      <c r="B587" s="6">
        <v>45667</v>
      </c>
      <c r="C587" s="7" t="s">
        <v>1118</v>
      </c>
      <c r="D587" s="7" t="s">
        <v>20</v>
      </c>
      <c r="E587" s="7" t="s">
        <v>61</v>
      </c>
      <c r="F587" s="7" t="s">
        <v>39</v>
      </c>
      <c r="G587" s="7">
        <v>1</v>
      </c>
      <c r="H587" s="8">
        <v>41.17</v>
      </c>
      <c r="I587" s="9">
        <v>10</v>
      </c>
      <c r="J587" s="8">
        <v>37.049999999999997</v>
      </c>
      <c r="K587" s="8">
        <v>14.04</v>
      </c>
      <c r="L587" s="10" t="s">
        <v>17</v>
      </c>
    </row>
    <row r="588" spans="1:12" x14ac:dyDescent="0.3">
      <c r="A588" s="5" t="s">
        <v>1119</v>
      </c>
      <c r="B588" s="6">
        <v>45865</v>
      </c>
      <c r="C588" s="7" t="s">
        <v>1120</v>
      </c>
      <c r="D588" s="7" t="s">
        <v>42</v>
      </c>
      <c r="E588" s="7" t="s">
        <v>52</v>
      </c>
      <c r="F588" s="7" t="s">
        <v>39</v>
      </c>
      <c r="G588" s="7">
        <v>4</v>
      </c>
      <c r="H588" s="8">
        <v>42.65</v>
      </c>
      <c r="I588" s="9">
        <v>10</v>
      </c>
      <c r="J588" s="8">
        <v>153.54</v>
      </c>
      <c r="K588" s="8">
        <v>40.83</v>
      </c>
      <c r="L588" s="10" t="s">
        <v>17</v>
      </c>
    </row>
    <row r="589" spans="1:12" x14ac:dyDescent="0.3">
      <c r="A589" s="5" t="s">
        <v>1121</v>
      </c>
      <c r="B589" s="6">
        <v>46014</v>
      </c>
      <c r="C589" s="7" t="s">
        <v>359</v>
      </c>
      <c r="D589" s="7" t="s">
        <v>42</v>
      </c>
      <c r="E589" s="7" t="s">
        <v>133</v>
      </c>
      <c r="F589" s="7" t="s">
        <v>75</v>
      </c>
      <c r="G589" s="7">
        <v>2</v>
      </c>
      <c r="H589" s="8">
        <v>45.02</v>
      </c>
      <c r="I589" s="9">
        <v>15</v>
      </c>
      <c r="J589" s="8">
        <v>76.53</v>
      </c>
      <c r="K589" s="8">
        <v>25.14</v>
      </c>
      <c r="L589" s="10" t="s">
        <v>34</v>
      </c>
    </row>
    <row r="590" spans="1:12" x14ac:dyDescent="0.3">
      <c r="A590" s="5" t="s">
        <v>1122</v>
      </c>
      <c r="B590" s="6">
        <v>45547</v>
      </c>
      <c r="C590" s="7" t="s">
        <v>1123</v>
      </c>
      <c r="D590" s="7" t="s">
        <v>42</v>
      </c>
      <c r="E590" s="7" t="s">
        <v>222</v>
      </c>
      <c r="F590" s="7" t="s">
        <v>22</v>
      </c>
      <c r="G590" s="7">
        <v>2</v>
      </c>
      <c r="H590" s="8">
        <v>28.5</v>
      </c>
      <c r="I590" s="9">
        <v>0</v>
      </c>
      <c r="J590" s="8">
        <v>57</v>
      </c>
      <c r="K590" s="8">
        <v>30.09</v>
      </c>
      <c r="L590" s="10" t="s">
        <v>17</v>
      </c>
    </row>
    <row r="591" spans="1:12" x14ac:dyDescent="0.3">
      <c r="A591" s="5" t="s">
        <v>1124</v>
      </c>
      <c r="B591" s="6">
        <v>45369</v>
      </c>
      <c r="C591" s="7" t="s">
        <v>1125</v>
      </c>
      <c r="D591" s="7" t="s">
        <v>37</v>
      </c>
      <c r="E591" s="7" t="s">
        <v>88</v>
      </c>
      <c r="F591" s="7" t="s">
        <v>22</v>
      </c>
      <c r="G591" s="7">
        <v>1</v>
      </c>
      <c r="H591" s="8">
        <v>41.62</v>
      </c>
      <c r="I591" s="9">
        <v>10</v>
      </c>
      <c r="J591" s="8">
        <v>37.46</v>
      </c>
      <c r="K591" s="8">
        <v>19.28</v>
      </c>
      <c r="L591" s="10" t="s">
        <v>17</v>
      </c>
    </row>
    <row r="592" spans="1:12" x14ac:dyDescent="0.3">
      <c r="A592" s="5" t="s">
        <v>1126</v>
      </c>
      <c r="B592" s="6">
        <v>45416</v>
      </c>
      <c r="C592" s="7" t="s">
        <v>1127</v>
      </c>
      <c r="D592" s="7" t="s">
        <v>14</v>
      </c>
      <c r="E592" s="7" t="s">
        <v>222</v>
      </c>
      <c r="F592" s="7" t="s">
        <v>22</v>
      </c>
      <c r="G592" s="7">
        <v>1</v>
      </c>
      <c r="H592" s="8">
        <v>25.92</v>
      </c>
      <c r="I592" s="9">
        <v>10</v>
      </c>
      <c r="J592" s="8">
        <v>23.33</v>
      </c>
      <c r="K592" s="8">
        <v>12.7</v>
      </c>
      <c r="L592" s="10" t="s">
        <v>17</v>
      </c>
    </row>
    <row r="593" spans="1:12" x14ac:dyDescent="0.3">
      <c r="A593" s="5" t="s">
        <v>1128</v>
      </c>
      <c r="B593" s="6">
        <v>45628</v>
      </c>
      <c r="C593" s="7" t="s">
        <v>1129</v>
      </c>
      <c r="D593" s="7" t="s">
        <v>42</v>
      </c>
      <c r="E593" s="7" t="s">
        <v>232</v>
      </c>
      <c r="F593" s="7" t="s">
        <v>22</v>
      </c>
      <c r="G593" s="7">
        <v>4</v>
      </c>
      <c r="H593" s="8">
        <v>47.3</v>
      </c>
      <c r="I593" s="9">
        <v>5</v>
      </c>
      <c r="J593" s="8">
        <v>179.74</v>
      </c>
      <c r="K593" s="8">
        <v>84.77</v>
      </c>
      <c r="L593" s="10" t="s">
        <v>23</v>
      </c>
    </row>
    <row r="594" spans="1:12" x14ac:dyDescent="0.3">
      <c r="A594" s="5" t="s">
        <v>1130</v>
      </c>
      <c r="B594" s="6">
        <v>45903</v>
      </c>
      <c r="C594" s="7" t="s">
        <v>1131</v>
      </c>
      <c r="D594" s="7" t="s">
        <v>14</v>
      </c>
      <c r="E594" s="7" t="s">
        <v>556</v>
      </c>
      <c r="F594" s="7" t="s">
        <v>49</v>
      </c>
      <c r="G594" s="7">
        <v>4</v>
      </c>
      <c r="H594" s="8">
        <v>31.81</v>
      </c>
      <c r="I594" s="9">
        <v>10</v>
      </c>
      <c r="J594" s="8">
        <v>114.52</v>
      </c>
      <c r="K594" s="8">
        <v>53.36</v>
      </c>
      <c r="L594" s="10" t="s">
        <v>34</v>
      </c>
    </row>
    <row r="595" spans="1:12" x14ac:dyDescent="0.3">
      <c r="A595" s="5" t="s">
        <v>1132</v>
      </c>
      <c r="B595" s="6">
        <v>45543</v>
      </c>
      <c r="C595" s="7" t="s">
        <v>1133</v>
      </c>
      <c r="D595" s="7" t="s">
        <v>14</v>
      </c>
      <c r="E595" s="7" t="s">
        <v>91</v>
      </c>
      <c r="F595" s="7" t="s">
        <v>49</v>
      </c>
      <c r="G595" s="7">
        <v>2</v>
      </c>
      <c r="H595" s="8">
        <v>51.46</v>
      </c>
      <c r="I595" s="9">
        <v>0</v>
      </c>
      <c r="J595" s="8">
        <v>102.92</v>
      </c>
      <c r="K595" s="8">
        <v>48.46</v>
      </c>
      <c r="L595" s="10" t="s">
        <v>17</v>
      </c>
    </row>
    <row r="596" spans="1:12" x14ac:dyDescent="0.3">
      <c r="A596" s="5" t="s">
        <v>1134</v>
      </c>
      <c r="B596" s="6">
        <v>45549</v>
      </c>
      <c r="C596" s="7" t="s">
        <v>1135</v>
      </c>
      <c r="D596" s="7" t="s">
        <v>14</v>
      </c>
      <c r="E596" s="7" t="s">
        <v>48</v>
      </c>
      <c r="F596" s="7" t="s">
        <v>49</v>
      </c>
      <c r="G596" s="7">
        <v>3</v>
      </c>
      <c r="H596" s="8">
        <v>35.11</v>
      </c>
      <c r="I596" s="9">
        <v>5</v>
      </c>
      <c r="J596" s="8">
        <v>100.06</v>
      </c>
      <c r="K596" s="8">
        <v>50.5</v>
      </c>
      <c r="L596" s="10" t="s">
        <v>17</v>
      </c>
    </row>
    <row r="597" spans="1:12" x14ac:dyDescent="0.3">
      <c r="A597" s="5" t="s">
        <v>1136</v>
      </c>
      <c r="B597" s="6">
        <v>45986</v>
      </c>
      <c r="C597" s="7" t="s">
        <v>349</v>
      </c>
      <c r="D597" s="7" t="s">
        <v>26</v>
      </c>
      <c r="E597" s="7" t="s">
        <v>43</v>
      </c>
      <c r="F597" s="7" t="s">
        <v>22</v>
      </c>
      <c r="G597" s="7">
        <v>2</v>
      </c>
      <c r="H597" s="8">
        <v>30.19</v>
      </c>
      <c r="I597" s="9">
        <v>0</v>
      </c>
      <c r="J597" s="8">
        <v>60.38</v>
      </c>
      <c r="K597" s="8">
        <v>34.22</v>
      </c>
      <c r="L597" s="10" t="s">
        <v>34</v>
      </c>
    </row>
    <row r="598" spans="1:12" x14ac:dyDescent="0.3">
      <c r="A598" s="5" t="s">
        <v>1137</v>
      </c>
      <c r="B598" s="6">
        <v>45364</v>
      </c>
      <c r="C598" s="7" t="s">
        <v>1138</v>
      </c>
      <c r="D598" s="7" t="s">
        <v>37</v>
      </c>
      <c r="E598" s="7" t="s">
        <v>38</v>
      </c>
      <c r="F598" s="7" t="s">
        <v>39</v>
      </c>
      <c r="G598" s="7">
        <v>2</v>
      </c>
      <c r="H598" s="8">
        <v>56.78</v>
      </c>
      <c r="I598" s="9">
        <v>10</v>
      </c>
      <c r="J598" s="8">
        <v>102.2</v>
      </c>
      <c r="K598" s="8">
        <v>30.37</v>
      </c>
      <c r="L598" s="10" t="s">
        <v>23</v>
      </c>
    </row>
    <row r="599" spans="1:12" x14ac:dyDescent="0.3">
      <c r="A599" s="5" t="s">
        <v>1139</v>
      </c>
      <c r="B599" s="6">
        <v>45948</v>
      </c>
      <c r="C599" s="7" t="s">
        <v>394</v>
      </c>
      <c r="D599" s="7" t="s">
        <v>14</v>
      </c>
      <c r="E599" s="7" t="s">
        <v>88</v>
      </c>
      <c r="F599" s="7" t="s">
        <v>22</v>
      </c>
      <c r="G599" s="7">
        <v>4</v>
      </c>
      <c r="H599" s="8">
        <v>16.04</v>
      </c>
      <c r="I599" s="9">
        <v>5</v>
      </c>
      <c r="J599" s="8">
        <v>60.95</v>
      </c>
      <c r="K599" s="8">
        <v>30.41</v>
      </c>
      <c r="L599" s="10" t="s">
        <v>23</v>
      </c>
    </row>
    <row r="600" spans="1:12" x14ac:dyDescent="0.3">
      <c r="A600" s="5" t="s">
        <v>1140</v>
      </c>
      <c r="B600" s="6">
        <v>45963</v>
      </c>
      <c r="C600" s="7" t="s">
        <v>1141</v>
      </c>
      <c r="D600" s="7" t="s">
        <v>26</v>
      </c>
      <c r="E600" s="7" t="s">
        <v>324</v>
      </c>
      <c r="F600" s="7" t="s">
        <v>16</v>
      </c>
      <c r="G600" s="7">
        <v>2</v>
      </c>
      <c r="H600" s="8">
        <v>82.89</v>
      </c>
      <c r="I600" s="9">
        <v>10</v>
      </c>
      <c r="J600" s="8">
        <v>149.19999999999999</v>
      </c>
      <c r="K600" s="8">
        <v>30.32</v>
      </c>
      <c r="L600" s="10" t="s">
        <v>23</v>
      </c>
    </row>
    <row r="601" spans="1:12" x14ac:dyDescent="0.3">
      <c r="A601" s="5" t="s">
        <v>1142</v>
      </c>
      <c r="B601" s="6">
        <v>45384</v>
      </c>
      <c r="C601" s="7" t="s">
        <v>1143</v>
      </c>
      <c r="D601" s="7" t="s">
        <v>26</v>
      </c>
      <c r="E601" s="7" t="s">
        <v>91</v>
      </c>
      <c r="F601" s="7" t="s">
        <v>49</v>
      </c>
      <c r="G601" s="7">
        <v>1</v>
      </c>
      <c r="H601" s="8">
        <v>41.16</v>
      </c>
      <c r="I601" s="9">
        <v>0</v>
      </c>
      <c r="J601" s="8">
        <v>41.16</v>
      </c>
      <c r="K601" s="8">
        <v>18.760000000000002</v>
      </c>
      <c r="L601" s="10" t="s">
        <v>17</v>
      </c>
    </row>
    <row r="602" spans="1:12" x14ac:dyDescent="0.3">
      <c r="A602" s="5" t="s">
        <v>1144</v>
      </c>
      <c r="B602" s="6">
        <v>45580</v>
      </c>
      <c r="C602" s="7" t="s">
        <v>340</v>
      </c>
      <c r="D602" s="7" t="s">
        <v>14</v>
      </c>
      <c r="E602" s="7" t="s">
        <v>52</v>
      </c>
      <c r="F602" s="7" t="s">
        <v>39</v>
      </c>
      <c r="G602" s="7">
        <v>3</v>
      </c>
      <c r="H602" s="8">
        <v>26.21</v>
      </c>
      <c r="I602" s="9">
        <v>20</v>
      </c>
      <c r="J602" s="8">
        <v>62.9</v>
      </c>
      <c r="K602" s="8">
        <v>23.07</v>
      </c>
      <c r="L602" s="10" t="s">
        <v>23</v>
      </c>
    </row>
    <row r="603" spans="1:12" x14ac:dyDescent="0.3">
      <c r="A603" s="5" t="s">
        <v>1145</v>
      </c>
      <c r="B603" s="6">
        <v>45890</v>
      </c>
      <c r="C603" s="7" t="s">
        <v>1146</v>
      </c>
      <c r="D603" s="7" t="s">
        <v>42</v>
      </c>
      <c r="E603" s="7" t="s">
        <v>148</v>
      </c>
      <c r="F603" s="7" t="s">
        <v>16</v>
      </c>
      <c r="G603" s="7">
        <v>1</v>
      </c>
      <c r="H603" s="8">
        <v>142.59</v>
      </c>
      <c r="I603" s="9">
        <v>10</v>
      </c>
      <c r="J603" s="8">
        <v>128.33000000000001</v>
      </c>
      <c r="K603" s="8">
        <v>23.4</v>
      </c>
      <c r="L603" s="10" t="s">
        <v>17</v>
      </c>
    </row>
    <row r="604" spans="1:12" x14ac:dyDescent="0.3">
      <c r="A604" s="5" t="s">
        <v>1147</v>
      </c>
      <c r="B604" s="6">
        <v>45972</v>
      </c>
      <c r="C604" s="7" t="s">
        <v>330</v>
      </c>
      <c r="D604" s="7" t="s">
        <v>14</v>
      </c>
      <c r="E604" s="7" t="s">
        <v>43</v>
      </c>
      <c r="F604" s="7" t="s">
        <v>22</v>
      </c>
      <c r="G604" s="7">
        <v>1</v>
      </c>
      <c r="H604" s="8">
        <v>38.93</v>
      </c>
      <c r="I604" s="9">
        <v>15</v>
      </c>
      <c r="J604" s="8">
        <v>33.090000000000003</v>
      </c>
      <c r="K604" s="8">
        <v>20.11</v>
      </c>
      <c r="L604" s="10" t="s">
        <v>17</v>
      </c>
    </row>
    <row r="605" spans="1:12" x14ac:dyDescent="0.3">
      <c r="A605" s="5" t="s">
        <v>1148</v>
      </c>
      <c r="B605" s="6">
        <v>45316</v>
      </c>
      <c r="C605" s="7" t="s">
        <v>1149</v>
      </c>
      <c r="D605" s="7" t="s">
        <v>42</v>
      </c>
      <c r="E605" s="7" t="s">
        <v>94</v>
      </c>
      <c r="F605" s="7" t="s">
        <v>75</v>
      </c>
      <c r="G605" s="7">
        <v>1</v>
      </c>
      <c r="H605" s="8">
        <v>29.98</v>
      </c>
      <c r="I605" s="9">
        <v>5</v>
      </c>
      <c r="J605" s="8">
        <v>28.48</v>
      </c>
      <c r="K605" s="8">
        <v>6.76</v>
      </c>
      <c r="L605" s="10" t="s">
        <v>17</v>
      </c>
    </row>
    <row r="606" spans="1:12" x14ac:dyDescent="0.3">
      <c r="A606" s="5" t="s">
        <v>1150</v>
      </c>
      <c r="B606" s="6">
        <v>45454</v>
      </c>
      <c r="C606" s="7" t="s">
        <v>1151</v>
      </c>
      <c r="D606" s="7" t="s">
        <v>14</v>
      </c>
      <c r="E606" s="7" t="s">
        <v>91</v>
      </c>
      <c r="F606" s="7" t="s">
        <v>49</v>
      </c>
      <c r="G606" s="7">
        <v>3</v>
      </c>
      <c r="H606" s="8">
        <v>35.24</v>
      </c>
      <c r="I606" s="9">
        <v>10</v>
      </c>
      <c r="J606" s="8">
        <v>95.15</v>
      </c>
      <c r="K606" s="8">
        <v>33.31</v>
      </c>
      <c r="L606" s="10" t="s">
        <v>23</v>
      </c>
    </row>
    <row r="607" spans="1:12" x14ac:dyDescent="0.3">
      <c r="A607" s="5" t="s">
        <v>1152</v>
      </c>
      <c r="B607" s="6">
        <v>45957</v>
      </c>
      <c r="C607" s="7" t="s">
        <v>349</v>
      </c>
      <c r="D607" s="7" t="s">
        <v>37</v>
      </c>
      <c r="E607" s="7" t="s">
        <v>232</v>
      </c>
      <c r="F607" s="7" t="s">
        <v>22</v>
      </c>
      <c r="G607" s="7">
        <v>2</v>
      </c>
      <c r="H607" s="8">
        <v>30.94</v>
      </c>
      <c r="I607" s="9">
        <v>0</v>
      </c>
      <c r="J607" s="8">
        <v>61.88</v>
      </c>
      <c r="K607" s="8">
        <v>31.12</v>
      </c>
      <c r="L607" s="10" t="s">
        <v>17</v>
      </c>
    </row>
    <row r="608" spans="1:12" x14ac:dyDescent="0.3">
      <c r="A608" s="5" t="s">
        <v>1153</v>
      </c>
      <c r="B608" s="6">
        <v>45414</v>
      </c>
      <c r="C608" s="7" t="s">
        <v>369</v>
      </c>
      <c r="D608" s="7" t="s">
        <v>42</v>
      </c>
      <c r="E608" s="7" t="s">
        <v>141</v>
      </c>
      <c r="F608" s="7" t="s">
        <v>16</v>
      </c>
      <c r="G608" s="7">
        <v>2</v>
      </c>
      <c r="H608" s="8">
        <v>145.56</v>
      </c>
      <c r="I608" s="9">
        <v>0</v>
      </c>
      <c r="J608" s="8">
        <v>291.12</v>
      </c>
      <c r="K608" s="8">
        <v>43.6</v>
      </c>
      <c r="L608" s="10" t="s">
        <v>23</v>
      </c>
    </row>
    <row r="609" spans="1:12" x14ac:dyDescent="0.3">
      <c r="A609" s="5" t="s">
        <v>1154</v>
      </c>
      <c r="B609" s="6">
        <v>45615</v>
      </c>
      <c r="C609" s="7" t="s">
        <v>852</v>
      </c>
      <c r="D609" s="7" t="s">
        <v>26</v>
      </c>
      <c r="E609" s="7" t="s">
        <v>269</v>
      </c>
      <c r="F609" s="7" t="s">
        <v>75</v>
      </c>
      <c r="G609" s="7">
        <v>1</v>
      </c>
      <c r="H609" s="8">
        <v>21.59</v>
      </c>
      <c r="I609" s="9">
        <v>0</v>
      </c>
      <c r="J609" s="8">
        <v>21.59</v>
      </c>
      <c r="K609" s="8">
        <v>3.76</v>
      </c>
      <c r="L609" s="10" t="s">
        <v>17</v>
      </c>
    </row>
    <row r="610" spans="1:12" x14ac:dyDescent="0.3">
      <c r="A610" s="5" t="s">
        <v>1155</v>
      </c>
      <c r="B610" s="6">
        <v>45972</v>
      </c>
      <c r="C610" s="7" t="s">
        <v>19</v>
      </c>
      <c r="D610" s="7" t="s">
        <v>26</v>
      </c>
      <c r="E610" s="7" t="s">
        <v>227</v>
      </c>
      <c r="F610" s="7" t="s">
        <v>39</v>
      </c>
      <c r="G610" s="7">
        <v>2</v>
      </c>
      <c r="H610" s="8">
        <v>21.08</v>
      </c>
      <c r="I610" s="9">
        <v>5</v>
      </c>
      <c r="J610" s="8">
        <v>40.049999999999997</v>
      </c>
      <c r="K610" s="8">
        <v>8.07</v>
      </c>
      <c r="L610" s="10" t="s">
        <v>17</v>
      </c>
    </row>
    <row r="611" spans="1:12" x14ac:dyDescent="0.3">
      <c r="A611" s="5" t="s">
        <v>1156</v>
      </c>
      <c r="B611" s="6">
        <v>45312</v>
      </c>
      <c r="C611" s="7" t="s">
        <v>779</v>
      </c>
      <c r="D611" s="7" t="s">
        <v>14</v>
      </c>
      <c r="E611" s="7" t="s">
        <v>48</v>
      </c>
      <c r="F611" s="7" t="s">
        <v>49</v>
      </c>
      <c r="G611" s="7">
        <v>4</v>
      </c>
      <c r="H611" s="8">
        <v>56.04</v>
      </c>
      <c r="I611" s="9">
        <v>10</v>
      </c>
      <c r="J611" s="8">
        <v>201.74</v>
      </c>
      <c r="K611" s="8">
        <v>73.98</v>
      </c>
      <c r="L611" s="10" t="s">
        <v>23</v>
      </c>
    </row>
    <row r="612" spans="1:12" x14ac:dyDescent="0.3">
      <c r="A612" s="5" t="s">
        <v>1157</v>
      </c>
      <c r="B612" s="6">
        <v>45487</v>
      </c>
      <c r="C612" s="7" t="s">
        <v>1158</v>
      </c>
      <c r="D612" s="7" t="s">
        <v>26</v>
      </c>
      <c r="E612" s="7" t="s">
        <v>211</v>
      </c>
      <c r="F612" s="7" t="s">
        <v>39</v>
      </c>
      <c r="G612" s="7">
        <v>1</v>
      </c>
      <c r="H612" s="8">
        <v>15.51</v>
      </c>
      <c r="I612" s="9">
        <v>20</v>
      </c>
      <c r="J612" s="8">
        <v>12.41</v>
      </c>
      <c r="K612" s="8">
        <v>4.79</v>
      </c>
      <c r="L612" s="10" t="s">
        <v>34</v>
      </c>
    </row>
    <row r="613" spans="1:12" x14ac:dyDescent="0.3">
      <c r="A613" s="5" t="s">
        <v>1159</v>
      </c>
      <c r="B613" s="6">
        <v>45365</v>
      </c>
      <c r="C613" s="7" t="s">
        <v>588</v>
      </c>
      <c r="D613" s="7" t="s">
        <v>14</v>
      </c>
      <c r="E613" s="7" t="s">
        <v>286</v>
      </c>
      <c r="F613" s="7" t="s">
        <v>39</v>
      </c>
      <c r="G613" s="7">
        <v>2</v>
      </c>
      <c r="H613" s="8">
        <v>65.34</v>
      </c>
      <c r="I613" s="9">
        <v>15</v>
      </c>
      <c r="J613" s="8">
        <v>111.08</v>
      </c>
      <c r="K613" s="8">
        <v>42.24</v>
      </c>
      <c r="L613" s="10" t="s">
        <v>23</v>
      </c>
    </row>
    <row r="614" spans="1:12" x14ac:dyDescent="0.3">
      <c r="A614" s="5" t="s">
        <v>1160</v>
      </c>
      <c r="B614" s="6">
        <v>45753</v>
      </c>
      <c r="C614" s="7" t="s">
        <v>394</v>
      </c>
      <c r="D614" s="7" t="s">
        <v>37</v>
      </c>
      <c r="E614" s="7" t="s">
        <v>214</v>
      </c>
      <c r="F614" s="7" t="s">
        <v>49</v>
      </c>
      <c r="G614" s="7">
        <v>4</v>
      </c>
      <c r="H614" s="8">
        <v>34.840000000000003</v>
      </c>
      <c r="I614" s="9">
        <v>0</v>
      </c>
      <c r="J614" s="8">
        <v>139.36000000000001</v>
      </c>
      <c r="K614" s="8">
        <v>51.74</v>
      </c>
      <c r="L614" s="10" t="s">
        <v>23</v>
      </c>
    </row>
    <row r="615" spans="1:12" x14ac:dyDescent="0.3">
      <c r="A615" s="5" t="s">
        <v>1161</v>
      </c>
      <c r="B615" s="6">
        <v>45693</v>
      </c>
      <c r="C615" s="7" t="s">
        <v>1162</v>
      </c>
      <c r="D615" s="7" t="s">
        <v>42</v>
      </c>
      <c r="E615" s="7" t="s">
        <v>291</v>
      </c>
      <c r="F615" s="7" t="s">
        <v>22</v>
      </c>
      <c r="G615" s="7">
        <v>3</v>
      </c>
      <c r="H615" s="8">
        <v>20.82</v>
      </c>
      <c r="I615" s="9">
        <v>10</v>
      </c>
      <c r="J615" s="8">
        <v>56.21</v>
      </c>
      <c r="K615" s="8">
        <v>28.92</v>
      </c>
      <c r="L615" s="10" t="s">
        <v>17</v>
      </c>
    </row>
    <row r="616" spans="1:12" x14ac:dyDescent="0.3">
      <c r="A616" s="5" t="s">
        <v>1163</v>
      </c>
      <c r="B616" s="6">
        <v>45520</v>
      </c>
      <c r="C616" s="7" t="s">
        <v>66</v>
      </c>
      <c r="D616" s="7" t="s">
        <v>42</v>
      </c>
      <c r="E616" s="7" t="s">
        <v>52</v>
      </c>
      <c r="F616" s="7" t="s">
        <v>39</v>
      </c>
      <c r="G616" s="7">
        <v>1</v>
      </c>
      <c r="H616" s="8">
        <v>58.31</v>
      </c>
      <c r="I616" s="9">
        <v>10</v>
      </c>
      <c r="J616" s="8">
        <v>52.48</v>
      </c>
      <c r="K616" s="8">
        <v>17.489999999999998</v>
      </c>
      <c r="L616" s="10" t="s">
        <v>17</v>
      </c>
    </row>
    <row r="617" spans="1:12" x14ac:dyDescent="0.3">
      <c r="A617" s="5" t="s">
        <v>1164</v>
      </c>
      <c r="B617" s="6">
        <v>45505</v>
      </c>
      <c r="C617" s="7" t="s">
        <v>402</v>
      </c>
      <c r="D617" s="7" t="s">
        <v>14</v>
      </c>
      <c r="E617" s="7" t="s">
        <v>154</v>
      </c>
      <c r="F617" s="7" t="s">
        <v>39</v>
      </c>
      <c r="G617" s="7">
        <v>2</v>
      </c>
      <c r="H617" s="8">
        <v>28.15</v>
      </c>
      <c r="I617" s="9">
        <v>10</v>
      </c>
      <c r="J617" s="8">
        <v>50.67</v>
      </c>
      <c r="K617" s="8">
        <v>11.77</v>
      </c>
      <c r="L617" s="10" t="s">
        <v>17</v>
      </c>
    </row>
    <row r="618" spans="1:12" x14ac:dyDescent="0.3">
      <c r="A618" s="5" t="s">
        <v>1165</v>
      </c>
      <c r="B618" s="6">
        <v>45420</v>
      </c>
      <c r="C618" s="7" t="s">
        <v>1166</v>
      </c>
      <c r="D618" s="7" t="s">
        <v>37</v>
      </c>
      <c r="E618" s="7" t="s">
        <v>177</v>
      </c>
      <c r="F618" s="7" t="s">
        <v>49</v>
      </c>
      <c r="G618" s="7">
        <v>1</v>
      </c>
      <c r="H618" s="8">
        <v>72.900000000000006</v>
      </c>
      <c r="I618" s="9">
        <v>0</v>
      </c>
      <c r="J618" s="8">
        <v>72.900000000000006</v>
      </c>
      <c r="K618" s="8">
        <v>23.53</v>
      </c>
      <c r="L618" s="10" t="s">
        <v>23</v>
      </c>
    </row>
    <row r="619" spans="1:12" x14ac:dyDescent="0.3">
      <c r="A619" s="5" t="s">
        <v>1167</v>
      </c>
      <c r="B619" s="6">
        <v>45500</v>
      </c>
      <c r="C619" s="7" t="s">
        <v>1168</v>
      </c>
      <c r="D619" s="7" t="s">
        <v>20</v>
      </c>
      <c r="E619" s="7" t="s">
        <v>108</v>
      </c>
      <c r="F619" s="7" t="s">
        <v>75</v>
      </c>
      <c r="G619" s="7">
        <v>1</v>
      </c>
      <c r="H619" s="8">
        <v>11.71</v>
      </c>
      <c r="I619" s="9">
        <v>5</v>
      </c>
      <c r="J619" s="8">
        <v>11.12</v>
      </c>
      <c r="K619" s="8">
        <v>3.1</v>
      </c>
      <c r="L619" s="10" t="s">
        <v>34</v>
      </c>
    </row>
    <row r="620" spans="1:12" x14ac:dyDescent="0.3">
      <c r="A620" s="5" t="s">
        <v>1169</v>
      </c>
      <c r="B620" s="6">
        <v>45758</v>
      </c>
      <c r="C620" s="7" t="s">
        <v>1170</v>
      </c>
      <c r="D620" s="7" t="s">
        <v>26</v>
      </c>
      <c r="E620" s="7" t="s">
        <v>148</v>
      </c>
      <c r="F620" s="7" t="s">
        <v>16</v>
      </c>
      <c r="G620" s="7">
        <v>3</v>
      </c>
      <c r="H620" s="8">
        <v>53.52</v>
      </c>
      <c r="I620" s="9">
        <v>25</v>
      </c>
      <c r="J620" s="8">
        <v>120.42</v>
      </c>
      <c r="K620" s="8">
        <v>13.3</v>
      </c>
      <c r="L620" s="10" t="s">
        <v>17</v>
      </c>
    </row>
    <row r="621" spans="1:12" x14ac:dyDescent="0.3">
      <c r="A621" s="5" t="s">
        <v>1171</v>
      </c>
      <c r="B621" s="6">
        <v>45937</v>
      </c>
      <c r="C621" s="7" t="s">
        <v>1172</v>
      </c>
      <c r="D621" s="7" t="s">
        <v>26</v>
      </c>
      <c r="E621" s="7" t="s">
        <v>33</v>
      </c>
      <c r="F621" s="7" t="s">
        <v>16</v>
      </c>
      <c r="G621" s="7">
        <v>1</v>
      </c>
      <c r="H621" s="8">
        <v>147.05000000000001</v>
      </c>
      <c r="I621" s="9">
        <v>5</v>
      </c>
      <c r="J621" s="8">
        <v>139.69999999999999</v>
      </c>
      <c r="K621" s="8">
        <v>32.770000000000003</v>
      </c>
      <c r="L621" s="10" t="s">
        <v>17</v>
      </c>
    </row>
    <row r="622" spans="1:12" x14ac:dyDescent="0.3">
      <c r="A622" s="5" t="s">
        <v>1173</v>
      </c>
      <c r="B622" s="6">
        <v>45735</v>
      </c>
      <c r="C622" s="7" t="s">
        <v>801</v>
      </c>
      <c r="D622" s="7" t="s">
        <v>20</v>
      </c>
      <c r="E622" s="7" t="s">
        <v>15</v>
      </c>
      <c r="F622" s="7" t="s">
        <v>16</v>
      </c>
      <c r="G622" s="7">
        <v>1</v>
      </c>
      <c r="H622" s="8">
        <v>28.5</v>
      </c>
      <c r="I622" s="9">
        <v>5</v>
      </c>
      <c r="J622" s="8">
        <v>27.08</v>
      </c>
      <c r="K622" s="8">
        <v>2.76</v>
      </c>
      <c r="L622" s="10" t="s">
        <v>17</v>
      </c>
    </row>
    <row r="623" spans="1:12" x14ac:dyDescent="0.3">
      <c r="A623" s="5" t="s">
        <v>1174</v>
      </c>
      <c r="B623" s="6">
        <v>45527</v>
      </c>
      <c r="C623" s="7" t="s">
        <v>879</v>
      </c>
      <c r="D623" s="7" t="s">
        <v>26</v>
      </c>
      <c r="E623" s="7" t="s">
        <v>83</v>
      </c>
      <c r="F623" s="7" t="s">
        <v>22</v>
      </c>
      <c r="G623" s="7">
        <v>1</v>
      </c>
      <c r="H623" s="8">
        <v>40.68</v>
      </c>
      <c r="I623" s="9">
        <v>0</v>
      </c>
      <c r="J623" s="8">
        <v>40.68</v>
      </c>
      <c r="K623" s="8">
        <v>17.54</v>
      </c>
      <c r="L623" s="10" t="s">
        <v>17</v>
      </c>
    </row>
    <row r="624" spans="1:12" x14ac:dyDescent="0.3">
      <c r="A624" s="5" t="s">
        <v>1175</v>
      </c>
      <c r="B624" s="6">
        <v>45590</v>
      </c>
      <c r="C624" s="7" t="s">
        <v>334</v>
      </c>
      <c r="D624" s="7" t="s">
        <v>42</v>
      </c>
      <c r="E624" s="7" t="s">
        <v>232</v>
      </c>
      <c r="F624" s="7" t="s">
        <v>22</v>
      </c>
      <c r="G624" s="7">
        <v>1</v>
      </c>
      <c r="H624" s="8">
        <v>34.71</v>
      </c>
      <c r="I624" s="9">
        <v>10</v>
      </c>
      <c r="J624" s="8">
        <v>31.24</v>
      </c>
      <c r="K624" s="8">
        <v>18.22</v>
      </c>
      <c r="L624" s="10" t="s">
        <v>23</v>
      </c>
    </row>
    <row r="625" spans="1:12" x14ac:dyDescent="0.3">
      <c r="A625" s="5" t="s">
        <v>1176</v>
      </c>
      <c r="B625" s="6">
        <v>45883</v>
      </c>
      <c r="C625" s="7" t="s">
        <v>702</v>
      </c>
      <c r="D625" s="7" t="s">
        <v>26</v>
      </c>
      <c r="E625" s="7" t="s">
        <v>187</v>
      </c>
      <c r="F625" s="7" t="s">
        <v>75</v>
      </c>
      <c r="G625" s="7">
        <v>2</v>
      </c>
      <c r="H625" s="8">
        <v>28.81</v>
      </c>
      <c r="I625" s="9">
        <v>5</v>
      </c>
      <c r="J625" s="8">
        <v>54.74</v>
      </c>
      <c r="K625" s="8">
        <v>15.6</v>
      </c>
      <c r="L625" s="10" t="s">
        <v>23</v>
      </c>
    </row>
    <row r="626" spans="1:12" x14ac:dyDescent="0.3">
      <c r="A626" s="5" t="s">
        <v>1177</v>
      </c>
      <c r="B626" s="6">
        <v>45568</v>
      </c>
      <c r="C626" s="7" t="s">
        <v>1178</v>
      </c>
      <c r="D626" s="7" t="s">
        <v>20</v>
      </c>
      <c r="E626" s="7" t="s">
        <v>27</v>
      </c>
      <c r="F626" s="7" t="s">
        <v>22</v>
      </c>
      <c r="G626" s="7">
        <v>1</v>
      </c>
      <c r="H626" s="8">
        <v>8.17</v>
      </c>
      <c r="I626" s="9">
        <v>0</v>
      </c>
      <c r="J626" s="8">
        <v>8.17</v>
      </c>
      <c r="K626" s="8">
        <v>4.57</v>
      </c>
      <c r="L626" s="10" t="s">
        <v>17</v>
      </c>
    </row>
    <row r="627" spans="1:12" x14ac:dyDescent="0.3">
      <c r="A627" s="5" t="s">
        <v>1179</v>
      </c>
      <c r="B627" s="6">
        <v>45756</v>
      </c>
      <c r="C627" s="7" t="s">
        <v>1180</v>
      </c>
      <c r="D627" s="7" t="s">
        <v>37</v>
      </c>
      <c r="E627" s="7" t="s">
        <v>208</v>
      </c>
      <c r="F627" s="7" t="s">
        <v>22</v>
      </c>
      <c r="G627" s="7">
        <v>1</v>
      </c>
      <c r="H627" s="8">
        <v>24.05</v>
      </c>
      <c r="I627" s="9">
        <v>20</v>
      </c>
      <c r="J627" s="8">
        <v>19.239999999999998</v>
      </c>
      <c r="K627" s="8">
        <v>8.02</v>
      </c>
      <c r="L627" s="10" t="s">
        <v>23</v>
      </c>
    </row>
    <row r="628" spans="1:12" x14ac:dyDescent="0.3">
      <c r="A628" s="5" t="s">
        <v>1181</v>
      </c>
      <c r="B628" s="6">
        <v>45701</v>
      </c>
      <c r="C628" s="7" t="s">
        <v>1182</v>
      </c>
      <c r="D628" s="7" t="s">
        <v>37</v>
      </c>
      <c r="E628" s="7" t="s">
        <v>187</v>
      </c>
      <c r="F628" s="7" t="s">
        <v>75</v>
      </c>
      <c r="G628" s="7">
        <v>1</v>
      </c>
      <c r="H628" s="8">
        <v>49.45</v>
      </c>
      <c r="I628" s="9">
        <v>10</v>
      </c>
      <c r="J628" s="8">
        <v>44.51</v>
      </c>
      <c r="K628" s="8">
        <v>7.81</v>
      </c>
      <c r="L628" s="10" t="s">
        <v>17</v>
      </c>
    </row>
    <row r="629" spans="1:12" x14ac:dyDescent="0.3">
      <c r="A629" s="5" t="s">
        <v>1183</v>
      </c>
      <c r="B629" s="6">
        <v>45470</v>
      </c>
      <c r="C629" s="7" t="s">
        <v>1184</v>
      </c>
      <c r="D629" s="7" t="s">
        <v>26</v>
      </c>
      <c r="E629" s="7" t="s">
        <v>253</v>
      </c>
      <c r="F629" s="7" t="s">
        <v>49</v>
      </c>
      <c r="G629" s="7">
        <v>1</v>
      </c>
      <c r="H629" s="8">
        <v>29.71</v>
      </c>
      <c r="I629" s="9">
        <v>0</v>
      </c>
      <c r="J629" s="8">
        <v>29.71</v>
      </c>
      <c r="K629" s="8">
        <v>16.149999999999999</v>
      </c>
      <c r="L629" s="10" t="s">
        <v>17</v>
      </c>
    </row>
    <row r="630" spans="1:12" x14ac:dyDescent="0.3">
      <c r="A630" s="5" t="s">
        <v>1185</v>
      </c>
      <c r="B630" s="6">
        <v>45941</v>
      </c>
      <c r="C630" s="7" t="s">
        <v>1186</v>
      </c>
      <c r="D630" s="7" t="s">
        <v>37</v>
      </c>
      <c r="E630" s="7" t="s">
        <v>118</v>
      </c>
      <c r="F630" s="7" t="s">
        <v>49</v>
      </c>
      <c r="G630" s="7">
        <v>3</v>
      </c>
      <c r="H630" s="8">
        <v>61.98</v>
      </c>
      <c r="I630" s="9">
        <v>20</v>
      </c>
      <c r="J630" s="8">
        <v>148.75</v>
      </c>
      <c r="K630" s="8">
        <v>79.930000000000007</v>
      </c>
      <c r="L630" s="10" t="s">
        <v>23</v>
      </c>
    </row>
    <row r="631" spans="1:12" x14ac:dyDescent="0.3">
      <c r="A631" s="5" t="s">
        <v>1187</v>
      </c>
      <c r="B631" s="6">
        <v>45545</v>
      </c>
      <c r="C631" s="7" t="s">
        <v>1188</v>
      </c>
      <c r="D631" s="7" t="s">
        <v>37</v>
      </c>
      <c r="E631" s="7" t="s">
        <v>502</v>
      </c>
      <c r="F631" s="7" t="s">
        <v>22</v>
      </c>
      <c r="G631" s="7">
        <v>5</v>
      </c>
      <c r="H631" s="8">
        <v>35.24</v>
      </c>
      <c r="I631" s="9">
        <v>10</v>
      </c>
      <c r="J631" s="8">
        <v>158.58000000000001</v>
      </c>
      <c r="K631" s="8">
        <v>78.78</v>
      </c>
      <c r="L631" s="10" t="s">
        <v>23</v>
      </c>
    </row>
    <row r="632" spans="1:12" x14ac:dyDescent="0.3">
      <c r="A632" s="5" t="s">
        <v>1189</v>
      </c>
      <c r="B632" s="6">
        <v>45583</v>
      </c>
      <c r="C632" s="7" t="s">
        <v>1190</v>
      </c>
      <c r="D632" s="7" t="s">
        <v>14</v>
      </c>
      <c r="E632" s="7" t="s">
        <v>133</v>
      </c>
      <c r="F632" s="7" t="s">
        <v>75</v>
      </c>
      <c r="G632" s="7">
        <v>3</v>
      </c>
      <c r="H632" s="8">
        <v>15.44</v>
      </c>
      <c r="I632" s="9">
        <v>0</v>
      </c>
      <c r="J632" s="8">
        <v>46.32</v>
      </c>
      <c r="K632" s="8">
        <v>10.6</v>
      </c>
      <c r="L632" s="10" t="s">
        <v>17</v>
      </c>
    </row>
    <row r="633" spans="1:12" x14ac:dyDescent="0.3">
      <c r="A633" s="5" t="s">
        <v>1191</v>
      </c>
      <c r="B633" s="6">
        <v>45671</v>
      </c>
      <c r="C633" s="7" t="s">
        <v>1192</v>
      </c>
      <c r="D633" s="7" t="s">
        <v>26</v>
      </c>
      <c r="E633" s="7" t="s">
        <v>108</v>
      </c>
      <c r="F633" s="7" t="s">
        <v>75</v>
      </c>
      <c r="G633" s="7">
        <v>4</v>
      </c>
      <c r="H633" s="8">
        <v>43.56</v>
      </c>
      <c r="I633" s="9">
        <v>0</v>
      </c>
      <c r="J633" s="8">
        <v>174.24</v>
      </c>
      <c r="K633" s="8">
        <v>38.28</v>
      </c>
      <c r="L633" s="10" t="s">
        <v>17</v>
      </c>
    </row>
    <row r="634" spans="1:12" x14ac:dyDescent="0.3">
      <c r="A634" s="5" t="s">
        <v>1193</v>
      </c>
      <c r="B634" s="6">
        <v>45863</v>
      </c>
      <c r="C634" s="7" t="s">
        <v>791</v>
      </c>
      <c r="D634" s="7" t="s">
        <v>37</v>
      </c>
      <c r="E634" s="7" t="s">
        <v>502</v>
      </c>
      <c r="F634" s="7" t="s">
        <v>22</v>
      </c>
      <c r="G634" s="7">
        <v>2</v>
      </c>
      <c r="H634" s="8">
        <v>29.3</v>
      </c>
      <c r="I634" s="9">
        <v>20</v>
      </c>
      <c r="J634" s="8">
        <v>46.88</v>
      </c>
      <c r="K634" s="8">
        <v>29.05</v>
      </c>
      <c r="L634" s="10" t="s">
        <v>17</v>
      </c>
    </row>
    <row r="635" spans="1:12" x14ac:dyDescent="0.3">
      <c r="A635" s="5" t="s">
        <v>1194</v>
      </c>
      <c r="B635" s="6">
        <v>45831</v>
      </c>
      <c r="C635" s="7" t="s">
        <v>892</v>
      </c>
      <c r="D635" s="7" t="s">
        <v>42</v>
      </c>
      <c r="E635" s="7" t="s">
        <v>74</v>
      </c>
      <c r="F635" s="7" t="s">
        <v>75</v>
      </c>
      <c r="G635" s="7">
        <v>1</v>
      </c>
      <c r="H635" s="8">
        <v>18.27</v>
      </c>
      <c r="I635" s="9">
        <v>0</v>
      </c>
      <c r="J635" s="8">
        <v>18.27</v>
      </c>
      <c r="K635" s="8">
        <v>6.13</v>
      </c>
      <c r="L635" s="10" t="s">
        <v>23</v>
      </c>
    </row>
    <row r="636" spans="1:12" x14ac:dyDescent="0.3">
      <c r="A636" s="5" t="s">
        <v>1195</v>
      </c>
      <c r="B636" s="6">
        <v>45587</v>
      </c>
      <c r="C636" s="7" t="s">
        <v>496</v>
      </c>
      <c r="D636" s="7" t="s">
        <v>42</v>
      </c>
      <c r="E636" s="7" t="s">
        <v>208</v>
      </c>
      <c r="F636" s="7" t="s">
        <v>22</v>
      </c>
      <c r="G636" s="7">
        <v>2</v>
      </c>
      <c r="H636" s="8">
        <v>46.08</v>
      </c>
      <c r="I636" s="9">
        <v>0</v>
      </c>
      <c r="J636" s="8">
        <v>92.16</v>
      </c>
      <c r="K636" s="8">
        <v>38.49</v>
      </c>
      <c r="L636" s="10" t="s">
        <v>17</v>
      </c>
    </row>
    <row r="637" spans="1:12" x14ac:dyDescent="0.3">
      <c r="A637" s="5" t="s">
        <v>1196</v>
      </c>
      <c r="B637" s="6">
        <v>45339</v>
      </c>
      <c r="C637" s="7" t="s">
        <v>1197</v>
      </c>
      <c r="D637" s="7" t="s">
        <v>37</v>
      </c>
      <c r="E637" s="7" t="s">
        <v>94</v>
      </c>
      <c r="F637" s="7" t="s">
        <v>75</v>
      </c>
      <c r="G637" s="7">
        <v>2</v>
      </c>
      <c r="H637" s="8">
        <v>23.88</v>
      </c>
      <c r="I637" s="9">
        <v>0</v>
      </c>
      <c r="J637" s="8">
        <v>47.76</v>
      </c>
      <c r="K637" s="8">
        <v>10.24</v>
      </c>
      <c r="L637" s="10" t="s">
        <v>17</v>
      </c>
    </row>
    <row r="638" spans="1:12" x14ac:dyDescent="0.3">
      <c r="A638" s="5" t="s">
        <v>1198</v>
      </c>
      <c r="B638" s="6">
        <v>45466</v>
      </c>
      <c r="C638" s="7" t="s">
        <v>189</v>
      </c>
      <c r="D638" s="7" t="s">
        <v>37</v>
      </c>
      <c r="E638" s="7" t="s">
        <v>222</v>
      </c>
      <c r="F638" s="7" t="s">
        <v>22</v>
      </c>
      <c r="G638" s="7">
        <v>3</v>
      </c>
      <c r="H638" s="8">
        <v>40.78</v>
      </c>
      <c r="I638" s="9">
        <v>0</v>
      </c>
      <c r="J638" s="8">
        <v>122.34</v>
      </c>
      <c r="K638" s="8">
        <v>69.010000000000005</v>
      </c>
      <c r="L638" s="10" t="s">
        <v>17</v>
      </c>
    </row>
    <row r="639" spans="1:12" x14ac:dyDescent="0.3">
      <c r="A639" s="5" t="s">
        <v>1199</v>
      </c>
      <c r="B639" s="6">
        <v>45527</v>
      </c>
      <c r="C639" s="7" t="s">
        <v>713</v>
      </c>
      <c r="D639" s="7" t="s">
        <v>14</v>
      </c>
      <c r="E639" s="7" t="s">
        <v>83</v>
      </c>
      <c r="F639" s="7" t="s">
        <v>22</v>
      </c>
      <c r="G639" s="7">
        <v>5</v>
      </c>
      <c r="H639" s="8">
        <v>20.95</v>
      </c>
      <c r="I639" s="9">
        <v>15</v>
      </c>
      <c r="J639" s="8">
        <v>89.04</v>
      </c>
      <c r="K639" s="8">
        <v>51.42</v>
      </c>
      <c r="L639" s="10" t="s">
        <v>17</v>
      </c>
    </row>
    <row r="640" spans="1:12" x14ac:dyDescent="0.3">
      <c r="A640" s="5" t="s">
        <v>1200</v>
      </c>
      <c r="B640" s="6">
        <v>45557</v>
      </c>
      <c r="C640" s="7" t="s">
        <v>411</v>
      </c>
      <c r="D640" s="7" t="s">
        <v>26</v>
      </c>
      <c r="E640" s="7" t="s">
        <v>151</v>
      </c>
      <c r="F640" s="7" t="s">
        <v>39</v>
      </c>
      <c r="G640" s="7">
        <v>3</v>
      </c>
      <c r="H640" s="8">
        <v>65.89</v>
      </c>
      <c r="I640" s="9">
        <v>15</v>
      </c>
      <c r="J640" s="8">
        <v>168.02</v>
      </c>
      <c r="K640" s="8">
        <v>50.16</v>
      </c>
      <c r="L640" s="10" t="s">
        <v>17</v>
      </c>
    </row>
    <row r="641" spans="1:12" x14ac:dyDescent="0.3">
      <c r="A641" s="5" t="s">
        <v>1201</v>
      </c>
      <c r="B641" s="6">
        <v>45454</v>
      </c>
      <c r="C641" s="7" t="s">
        <v>1202</v>
      </c>
      <c r="D641" s="7" t="s">
        <v>14</v>
      </c>
      <c r="E641" s="7" t="s">
        <v>91</v>
      </c>
      <c r="F641" s="7" t="s">
        <v>49</v>
      </c>
      <c r="G641" s="7">
        <v>1</v>
      </c>
      <c r="H641" s="8">
        <v>20.92</v>
      </c>
      <c r="I641" s="9">
        <v>5</v>
      </c>
      <c r="J641" s="8">
        <v>19.87</v>
      </c>
      <c r="K641" s="8">
        <v>10.67</v>
      </c>
      <c r="L641" s="10" t="s">
        <v>17</v>
      </c>
    </row>
    <row r="642" spans="1:12" x14ac:dyDescent="0.3">
      <c r="A642" s="5" t="s">
        <v>1203</v>
      </c>
      <c r="B642" s="6">
        <v>45611</v>
      </c>
      <c r="C642" s="7" t="s">
        <v>1204</v>
      </c>
      <c r="D642" s="7" t="s">
        <v>26</v>
      </c>
      <c r="E642" s="7" t="s">
        <v>105</v>
      </c>
      <c r="F642" s="7" t="s">
        <v>39</v>
      </c>
      <c r="G642" s="7">
        <v>2</v>
      </c>
      <c r="H642" s="8">
        <v>51.34</v>
      </c>
      <c r="I642" s="9">
        <v>10</v>
      </c>
      <c r="J642" s="8">
        <v>92.41</v>
      </c>
      <c r="K642" s="8">
        <v>36.51</v>
      </c>
      <c r="L642" s="10" t="s">
        <v>17</v>
      </c>
    </row>
    <row r="643" spans="1:12" x14ac:dyDescent="0.3">
      <c r="A643" s="5" t="s">
        <v>1205</v>
      </c>
      <c r="B643" s="6">
        <v>45438</v>
      </c>
      <c r="C643" s="7" t="s">
        <v>1206</v>
      </c>
      <c r="D643" s="7" t="s">
        <v>37</v>
      </c>
      <c r="E643" s="7" t="s">
        <v>148</v>
      </c>
      <c r="F643" s="7" t="s">
        <v>16</v>
      </c>
      <c r="G643" s="7">
        <v>1</v>
      </c>
      <c r="H643" s="8">
        <v>102.96</v>
      </c>
      <c r="I643" s="9">
        <v>10</v>
      </c>
      <c r="J643" s="8">
        <v>92.66</v>
      </c>
      <c r="K643" s="8">
        <v>21.12</v>
      </c>
      <c r="L643" s="10" t="s">
        <v>23</v>
      </c>
    </row>
    <row r="644" spans="1:12" x14ac:dyDescent="0.3">
      <c r="A644" s="5" t="s">
        <v>1207</v>
      </c>
      <c r="B644" s="6">
        <v>45594</v>
      </c>
      <c r="C644" s="7" t="s">
        <v>852</v>
      </c>
      <c r="D644" s="7" t="s">
        <v>26</v>
      </c>
      <c r="E644" s="7" t="s">
        <v>151</v>
      </c>
      <c r="F644" s="7" t="s">
        <v>39</v>
      </c>
      <c r="G644" s="7">
        <v>1</v>
      </c>
      <c r="H644" s="8">
        <v>34.04</v>
      </c>
      <c r="I644" s="9">
        <v>0</v>
      </c>
      <c r="J644" s="8">
        <v>34.04</v>
      </c>
      <c r="K644" s="8">
        <v>7.49</v>
      </c>
      <c r="L644" s="10" t="s">
        <v>17</v>
      </c>
    </row>
    <row r="645" spans="1:12" x14ac:dyDescent="0.3">
      <c r="A645" s="5" t="s">
        <v>1208</v>
      </c>
      <c r="B645" s="6">
        <v>45551</v>
      </c>
      <c r="C645" s="7" t="s">
        <v>1209</v>
      </c>
      <c r="D645" s="7" t="s">
        <v>26</v>
      </c>
      <c r="E645" s="7" t="s">
        <v>141</v>
      </c>
      <c r="F645" s="7" t="s">
        <v>16</v>
      </c>
      <c r="G645" s="7">
        <v>1</v>
      </c>
      <c r="H645" s="8">
        <v>119.01</v>
      </c>
      <c r="I645" s="9">
        <v>15</v>
      </c>
      <c r="J645" s="8">
        <v>101.16</v>
      </c>
      <c r="K645" s="8">
        <v>12.83</v>
      </c>
      <c r="L645" s="10" t="s">
        <v>23</v>
      </c>
    </row>
    <row r="646" spans="1:12" x14ac:dyDescent="0.3">
      <c r="A646" s="5" t="s">
        <v>1210</v>
      </c>
      <c r="B646" s="6">
        <v>45919</v>
      </c>
      <c r="C646" s="7" t="s">
        <v>1015</v>
      </c>
      <c r="D646" s="7" t="s">
        <v>20</v>
      </c>
      <c r="E646" s="7" t="s">
        <v>111</v>
      </c>
      <c r="F646" s="7" t="s">
        <v>49</v>
      </c>
      <c r="G646" s="7">
        <v>2</v>
      </c>
      <c r="H646" s="8">
        <v>44.81</v>
      </c>
      <c r="I646" s="9">
        <v>5</v>
      </c>
      <c r="J646" s="8">
        <v>85.14</v>
      </c>
      <c r="K646" s="8">
        <v>37.76</v>
      </c>
      <c r="L646" s="10" t="s">
        <v>23</v>
      </c>
    </row>
    <row r="647" spans="1:12" x14ac:dyDescent="0.3">
      <c r="A647" s="5" t="s">
        <v>1211</v>
      </c>
      <c r="B647" s="6">
        <v>45939</v>
      </c>
      <c r="C647" s="7" t="s">
        <v>1212</v>
      </c>
      <c r="D647" s="7" t="s">
        <v>37</v>
      </c>
      <c r="E647" s="7" t="s">
        <v>15</v>
      </c>
      <c r="F647" s="7" t="s">
        <v>16</v>
      </c>
      <c r="G647" s="7">
        <v>2</v>
      </c>
      <c r="H647" s="8">
        <v>21.71</v>
      </c>
      <c r="I647" s="9">
        <v>20</v>
      </c>
      <c r="J647" s="8">
        <v>34.74</v>
      </c>
      <c r="K647" s="8">
        <v>5.91</v>
      </c>
      <c r="L647" s="10" t="s">
        <v>17</v>
      </c>
    </row>
    <row r="648" spans="1:12" x14ac:dyDescent="0.3">
      <c r="A648" s="5" t="s">
        <v>1213</v>
      </c>
      <c r="B648" s="6">
        <v>45860</v>
      </c>
      <c r="C648" s="7" t="s">
        <v>1214</v>
      </c>
      <c r="D648" s="7" t="s">
        <v>42</v>
      </c>
      <c r="E648" s="7" t="s">
        <v>30</v>
      </c>
      <c r="F648" s="7" t="s">
        <v>16</v>
      </c>
      <c r="G648" s="7">
        <v>1</v>
      </c>
      <c r="H648" s="8">
        <v>37.9</v>
      </c>
      <c r="I648" s="9">
        <v>0</v>
      </c>
      <c r="J648" s="8">
        <v>37.9</v>
      </c>
      <c r="K648" s="8">
        <v>5.28</v>
      </c>
      <c r="L648" s="10" t="s">
        <v>23</v>
      </c>
    </row>
    <row r="649" spans="1:12" x14ac:dyDescent="0.3">
      <c r="A649" s="5" t="s">
        <v>1215</v>
      </c>
      <c r="B649" s="6">
        <v>45572</v>
      </c>
      <c r="C649" s="7" t="s">
        <v>1216</v>
      </c>
      <c r="D649" s="7" t="s">
        <v>26</v>
      </c>
      <c r="E649" s="7" t="s">
        <v>187</v>
      </c>
      <c r="F649" s="7" t="s">
        <v>75</v>
      </c>
      <c r="G649" s="7">
        <v>2</v>
      </c>
      <c r="H649" s="8">
        <v>45.04</v>
      </c>
      <c r="I649" s="9">
        <v>0</v>
      </c>
      <c r="J649" s="8">
        <v>90.08</v>
      </c>
      <c r="K649" s="8">
        <v>14.81</v>
      </c>
      <c r="L649" s="10" t="s">
        <v>17</v>
      </c>
    </row>
    <row r="650" spans="1:12" x14ac:dyDescent="0.3">
      <c r="A650" s="5" t="s">
        <v>1217</v>
      </c>
      <c r="B650" s="6">
        <v>45827</v>
      </c>
      <c r="C650" s="7" t="s">
        <v>695</v>
      </c>
      <c r="D650" s="7" t="s">
        <v>42</v>
      </c>
      <c r="E650" s="7" t="s">
        <v>227</v>
      </c>
      <c r="F650" s="7" t="s">
        <v>39</v>
      </c>
      <c r="G650" s="7">
        <v>1</v>
      </c>
      <c r="H650" s="8">
        <v>69.88</v>
      </c>
      <c r="I650" s="9">
        <v>5</v>
      </c>
      <c r="J650" s="8">
        <v>66.39</v>
      </c>
      <c r="K650" s="8">
        <v>24.13</v>
      </c>
      <c r="L650" s="10" t="s">
        <v>23</v>
      </c>
    </row>
    <row r="651" spans="1:12" x14ac:dyDescent="0.3">
      <c r="A651" s="5" t="s">
        <v>1218</v>
      </c>
      <c r="B651" s="6">
        <v>45449</v>
      </c>
      <c r="C651" s="7" t="s">
        <v>1141</v>
      </c>
      <c r="D651" s="7" t="s">
        <v>26</v>
      </c>
      <c r="E651" s="7" t="s">
        <v>214</v>
      </c>
      <c r="F651" s="7" t="s">
        <v>49</v>
      </c>
      <c r="G651" s="7">
        <v>2</v>
      </c>
      <c r="H651" s="8">
        <v>73.61</v>
      </c>
      <c r="I651" s="9">
        <v>10</v>
      </c>
      <c r="J651" s="8">
        <v>132.5</v>
      </c>
      <c r="K651" s="8">
        <v>66.41</v>
      </c>
      <c r="L651" s="10" t="s">
        <v>34</v>
      </c>
    </row>
    <row r="652" spans="1:12" x14ac:dyDescent="0.3">
      <c r="A652" s="5" t="s">
        <v>1219</v>
      </c>
      <c r="B652" s="6">
        <v>45665</v>
      </c>
      <c r="C652" s="7" t="s">
        <v>1220</v>
      </c>
      <c r="D652" s="7" t="s">
        <v>26</v>
      </c>
      <c r="E652" s="7" t="s">
        <v>211</v>
      </c>
      <c r="F652" s="7" t="s">
        <v>39</v>
      </c>
      <c r="G652" s="7">
        <v>4</v>
      </c>
      <c r="H652" s="8">
        <v>14.57</v>
      </c>
      <c r="I652" s="9">
        <v>10</v>
      </c>
      <c r="J652" s="8">
        <v>52.45</v>
      </c>
      <c r="K652" s="8">
        <v>10.95</v>
      </c>
      <c r="L652" s="10" t="s">
        <v>17</v>
      </c>
    </row>
    <row r="653" spans="1:12" x14ac:dyDescent="0.3">
      <c r="A653" s="5" t="s">
        <v>1221</v>
      </c>
      <c r="B653" s="6">
        <v>45898</v>
      </c>
      <c r="C653" s="7" t="s">
        <v>467</v>
      </c>
      <c r="D653" s="7" t="s">
        <v>42</v>
      </c>
      <c r="E653" s="7" t="s">
        <v>141</v>
      </c>
      <c r="F653" s="7" t="s">
        <v>16</v>
      </c>
      <c r="G653" s="7">
        <v>1</v>
      </c>
      <c r="H653" s="8">
        <v>45.48</v>
      </c>
      <c r="I653" s="9">
        <v>15</v>
      </c>
      <c r="J653" s="8">
        <v>38.659999999999997</v>
      </c>
      <c r="K653" s="8">
        <v>8.41</v>
      </c>
      <c r="L653" s="10" t="s">
        <v>17</v>
      </c>
    </row>
    <row r="654" spans="1:12" x14ac:dyDescent="0.3">
      <c r="A654" s="5" t="s">
        <v>1222</v>
      </c>
      <c r="B654" s="6">
        <v>45577</v>
      </c>
      <c r="C654" s="7" t="s">
        <v>1223</v>
      </c>
      <c r="D654" s="7" t="s">
        <v>37</v>
      </c>
      <c r="E654" s="7" t="s">
        <v>74</v>
      </c>
      <c r="F654" s="7" t="s">
        <v>75</v>
      </c>
      <c r="G654" s="7">
        <v>1</v>
      </c>
      <c r="H654" s="8">
        <v>15.81</v>
      </c>
      <c r="I654" s="9">
        <v>0</v>
      </c>
      <c r="J654" s="8">
        <v>15.81</v>
      </c>
      <c r="K654" s="8">
        <v>2.79</v>
      </c>
      <c r="L654" s="10" t="s">
        <v>17</v>
      </c>
    </row>
    <row r="655" spans="1:12" x14ac:dyDescent="0.3">
      <c r="A655" s="5" t="s">
        <v>1224</v>
      </c>
      <c r="B655" s="6">
        <v>45968</v>
      </c>
      <c r="C655" s="7" t="s">
        <v>1209</v>
      </c>
      <c r="D655" s="7" t="s">
        <v>42</v>
      </c>
      <c r="E655" s="7" t="s">
        <v>74</v>
      </c>
      <c r="F655" s="7" t="s">
        <v>75</v>
      </c>
      <c r="G655" s="7">
        <v>1</v>
      </c>
      <c r="H655" s="8">
        <v>35.08</v>
      </c>
      <c r="I655" s="9">
        <v>0</v>
      </c>
      <c r="J655" s="8">
        <v>35.08</v>
      </c>
      <c r="K655" s="8">
        <v>9.5399999999999991</v>
      </c>
      <c r="L655" s="10" t="s">
        <v>23</v>
      </c>
    </row>
    <row r="656" spans="1:12" x14ac:dyDescent="0.3">
      <c r="A656" s="5" t="s">
        <v>1225</v>
      </c>
      <c r="B656" s="6">
        <v>45766</v>
      </c>
      <c r="C656" s="7" t="s">
        <v>308</v>
      </c>
      <c r="D656" s="7" t="s">
        <v>26</v>
      </c>
      <c r="E656" s="7" t="s">
        <v>151</v>
      </c>
      <c r="F656" s="7" t="s">
        <v>39</v>
      </c>
      <c r="G656" s="7">
        <v>2</v>
      </c>
      <c r="H656" s="8">
        <v>62.76</v>
      </c>
      <c r="I656" s="9">
        <v>0</v>
      </c>
      <c r="J656" s="8">
        <v>125.52</v>
      </c>
      <c r="K656" s="8">
        <v>31.4</v>
      </c>
      <c r="L656" s="10" t="s">
        <v>17</v>
      </c>
    </row>
    <row r="657" spans="1:12" x14ac:dyDescent="0.3">
      <c r="A657" s="5" t="s">
        <v>1226</v>
      </c>
      <c r="B657" s="6">
        <v>45852</v>
      </c>
      <c r="C657" s="7" t="s">
        <v>1227</v>
      </c>
      <c r="D657" s="7" t="s">
        <v>20</v>
      </c>
      <c r="E657" s="7" t="s">
        <v>83</v>
      </c>
      <c r="F657" s="7" t="s">
        <v>22</v>
      </c>
      <c r="G657" s="7">
        <v>1</v>
      </c>
      <c r="H657" s="8">
        <v>19.46</v>
      </c>
      <c r="I657" s="9">
        <v>0</v>
      </c>
      <c r="J657" s="8">
        <v>19.46</v>
      </c>
      <c r="K657" s="8">
        <v>10.3</v>
      </c>
      <c r="L657" s="10" t="s">
        <v>17</v>
      </c>
    </row>
    <row r="658" spans="1:12" x14ac:dyDescent="0.3">
      <c r="A658" s="5" t="s">
        <v>1228</v>
      </c>
      <c r="B658" s="6">
        <v>45952</v>
      </c>
      <c r="C658" s="7" t="s">
        <v>1229</v>
      </c>
      <c r="D658" s="7" t="s">
        <v>37</v>
      </c>
      <c r="E658" s="7" t="s">
        <v>91</v>
      </c>
      <c r="F658" s="7" t="s">
        <v>49</v>
      </c>
      <c r="G658" s="7">
        <v>2</v>
      </c>
      <c r="H658" s="8">
        <v>53.16</v>
      </c>
      <c r="I658" s="9">
        <v>10</v>
      </c>
      <c r="J658" s="8">
        <v>95.69</v>
      </c>
      <c r="K658" s="8">
        <v>52.38</v>
      </c>
      <c r="L658" s="10" t="s">
        <v>23</v>
      </c>
    </row>
    <row r="659" spans="1:12" x14ac:dyDescent="0.3">
      <c r="A659" s="5" t="s">
        <v>1230</v>
      </c>
      <c r="B659" s="6">
        <v>45634</v>
      </c>
      <c r="C659" s="7" t="s">
        <v>590</v>
      </c>
      <c r="D659" s="7" t="s">
        <v>42</v>
      </c>
      <c r="E659" s="7" t="s">
        <v>94</v>
      </c>
      <c r="F659" s="7" t="s">
        <v>75</v>
      </c>
      <c r="G659" s="7">
        <v>1</v>
      </c>
      <c r="H659" s="8">
        <v>46.7</v>
      </c>
      <c r="I659" s="9">
        <v>15</v>
      </c>
      <c r="J659" s="8">
        <v>39.700000000000003</v>
      </c>
      <c r="K659" s="8">
        <v>13.26</v>
      </c>
      <c r="L659" s="10" t="s">
        <v>23</v>
      </c>
    </row>
    <row r="660" spans="1:12" x14ac:dyDescent="0.3">
      <c r="A660" s="5" t="s">
        <v>1231</v>
      </c>
      <c r="B660" s="6">
        <v>45627</v>
      </c>
      <c r="C660" s="7" t="s">
        <v>435</v>
      </c>
      <c r="D660" s="7" t="s">
        <v>26</v>
      </c>
      <c r="E660" s="7" t="s">
        <v>187</v>
      </c>
      <c r="F660" s="7" t="s">
        <v>75</v>
      </c>
      <c r="G660" s="7">
        <v>5</v>
      </c>
      <c r="H660" s="8">
        <v>17.16</v>
      </c>
      <c r="I660" s="9">
        <v>0</v>
      </c>
      <c r="J660" s="8">
        <v>85.8</v>
      </c>
      <c r="K660" s="8">
        <v>22.89</v>
      </c>
      <c r="L660" s="10" t="s">
        <v>17</v>
      </c>
    </row>
    <row r="661" spans="1:12" x14ac:dyDescent="0.3">
      <c r="A661" s="5" t="s">
        <v>1232</v>
      </c>
      <c r="B661" s="6">
        <v>45964</v>
      </c>
      <c r="C661" s="7" t="s">
        <v>1233</v>
      </c>
      <c r="D661" s="7" t="s">
        <v>37</v>
      </c>
      <c r="E661" s="7" t="s">
        <v>38</v>
      </c>
      <c r="F661" s="7" t="s">
        <v>39</v>
      </c>
      <c r="G661" s="7">
        <v>4</v>
      </c>
      <c r="H661" s="8">
        <v>73.63</v>
      </c>
      <c r="I661" s="9">
        <v>20</v>
      </c>
      <c r="J661" s="8">
        <v>235.62</v>
      </c>
      <c r="K661" s="8">
        <v>87.48</v>
      </c>
      <c r="L661" s="10" t="s">
        <v>17</v>
      </c>
    </row>
    <row r="662" spans="1:12" x14ac:dyDescent="0.3">
      <c r="A662" s="5" t="s">
        <v>1234</v>
      </c>
      <c r="B662" s="6">
        <v>45547</v>
      </c>
      <c r="C662" s="7" t="s">
        <v>1235</v>
      </c>
      <c r="D662" s="7" t="s">
        <v>42</v>
      </c>
      <c r="E662" s="7" t="s">
        <v>108</v>
      </c>
      <c r="F662" s="7" t="s">
        <v>75</v>
      </c>
      <c r="G662" s="7">
        <v>4</v>
      </c>
      <c r="H662" s="8">
        <v>53.57</v>
      </c>
      <c r="I662" s="9">
        <v>15</v>
      </c>
      <c r="J662" s="8">
        <v>182.14</v>
      </c>
      <c r="K662" s="8">
        <v>42.35</v>
      </c>
      <c r="L662" s="10" t="s">
        <v>23</v>
      </c>
    </row>
    <row r="663" spans="1:12" x14ac:dyDescent="0.3">
      <c r="A663" s="5" t="s">
        <v>1236</v>
      </c>
      <c r="B663" s="6">
        <v>45830</v>
      </c>
      <c r="C663" s="7" t="s">
        <v>1237</v>
      </c>
      <c r="D663" s="7" t="s">
        <v>20</v>
      </c>
      <c r="E663" s="7" t="s">
        <v>27</v>
      </c>
      <c r="F663" s="7" t="s">
        <v>22</v>
      </c>
      <c r="G663" s="7">
        <v>2</v>
      </c>
      <c r="H663" s="8">
        <v>31.83</v>
      </c>
      <c r="I663" s="9">
        <v>0</v>
      </c>
      <c r="J663" s="8">
        <v>63.66</v>
      </c>
      <c r="K663" s="8">
        <v>37.229999999999997</v>
      </c>
      <c r="L663" s="10" t="s">
        <v>17</v>
      </c>
    </row>
    <row r="664" spans="1:12" x14ac:dyDescent="0.3">
      <c r="A664" s="5" t="s">
        <v>1238</v>
      </c>
      <c r="B664" s="6">
        <v>45628</v>
      </c>
      <c r="C664" s="7" t="s">
        <v>1036</v>
      </c>
      <c r="D664" s="7" t="s">
        <v>37</v>
      </c>
      <c r="E664" s="7" t="s">
        <v>91</v>
      </c>
      <c r="F664" s="7" t="s">
        <v>49</v>
      </c>
      <c r="G664" s="7">
        <v>2</v>
      </c>
      <c r="H664" s="8">
        <v>83.04</v>
      </c>
      <c r="I664" s="9">
        <v>20</v>
      </c>
      <c r="J664" s="8">
        <v>132.86000000000001</v>
      </c>
      <c r="K664" s="8">
        <v>64.19</v>
      </c>
      <c r="L664" s="10" t="s">
        <v>23</v>
      </c>
    </row>
    <row r="665" spans="1:12" x14ac:dyDescent="0.3">
      <c r="A665" s="5" t="s">
        <v>1239</v>
      </c>
      <c r="B665" s="6">
        <v>45901</v>
      </c>
      <c r="C665" s="7" t="s">
        <v>1240</v>
      </c>
      <c r="D665" s="7" t="s">
        <v>26</v>
      </c>
      <c r="E665" s="7" t="s">
        <v>33</v>
      </c>
      <c r="F665" s="7" t="s">
        <v>16</v>
      </c>
      <c r="G665" s="7">
        <v>1</v>
      </c>
      <c r="H665" s="8">
        <v>35.56</v>
      </c>
      <c r="I665" s="9">
        <v>5</v>
      </c>
      <c r="J665" s="8">
        <v>33.78</v>
      </c>
      <c r="K665" s="8">
        <v>7.32</v>
      </c>
      <c r="L665" s="10" t="s">
        <v>17</v>
      </c>
    </row>
    <row r="666" spans="1:12" x14ac:dyDescent="0.3">
      <c r="A666" s="5" t="s">
        <v>1241</v>
      </c>
      <c r="B666" s="6">
        <v>45644</v>
      </c>
      <c r="C666" s="7" t="s">
        <v>846</v>
      </c>
      <c r="D666" s="7" t="s">
        <v>26</v>
      </c>
      <c r="E666" s="7" t="s">
        <v>21</v>
      </c>
      <c r="F666" s="7" t="s">
        <v>22</v>
      </c>
      <c r="G666" s="7">
        <v>1</v>
      </c>
      <c r="H666" s="8">
        <v>42.6</v>
      </c>
      <c r="I666" s="9">
        <v>10</v>
      </c>
      <c r="J666" s="8">
        <v>38.340000000000003</v>
      </c>
      <c r="K666" s="8">
        <v>20.58</v>
      </c>
      <c r="L666" s="10" t="s">
        <v>17</v>
      </c>
    </row>
    <row r="667" spans="1:12" x14ac:dyDescent="0.3">
      <c r="A667" s="5" t="s">
        <v>1242</v>
      </c>
      <c r="B667" s="6">
        <v>45905</v>
      </c>
      <c r="C667" s="7" t="s">
        <v>1243</v>
      </c>
      <c r="D667" s="7" t="s">
        <v>26</v>
      </c>
      <c r="E667" s="7" t="s">
        <v>27</v>
      </c>
      <c r="F667" s="7" t="s">
        <v>22</v>
      </c>
      <c r="G667" s="7">
        <v>2</v>
      </c>
      <c r="H667" s="8">
        <v>30.21</v>
      </c>
      <c r="I667" s="9">
        <v>0</v>
      </c>
      <c r="J667" s="8">
        <v>60.42</v>
      </c>
      <c r="K667" s="8">
        <v>30.09</v>
      </c>
      <c r="L667" s="10" t="s">
        <v>17</v>
      </c>
    </row>
    <row r="668" spans="1:12" x14ac:dyDescent="0.3">
      <c r="A668" s="5" t="s">
        <v>1244</v>
      </c>
      <c r="B668" s="6">
        <v>45751</v>
      </c>
      <c r="C668" s="7" t="s">
        <v>1245</v>
      </c>
      <c r="D668" s="7" t="s">
        <v>20</v>
      </c>
      <c r="E668" s="7" t="s">
        <v>253</v>
      </c>
      <c r="F668" s="7" t="s">
        <v>49</v>
      </c>
      <c r="G668" s="7">
        <v>1</v>
      </c>
      <c r="H668" s="8">
        <v>16.87</v>
      </c>
      <c r="I668" s="9">
        <v>5</v>
      </c>
      <c r="J668" s="8">
        <v>16.03</v>
      </c>
      <c r="K668" s="8">
        <v>7.73</v>
      </c>
      <c r="L668" s="10" t="s">
        <v>23</v>
      </c>
    </row>
    <row r="669" spans="1:12" x14ac:dyDescent="0.3">
      <c r="A669" s="5" t="s">
        <v>1246</v>
      </c>
      <c r="B669" s="6">
        <v>45906</v>
      </c>
      <c r="C669" s="7" t="s">
        <v>153</v>
      </c>
      <c r="D669" s="7" t="s">
        <v>37</v>
      </c>
      <c r="E669" s="7" t="s">
        <v>43</v>
      </c>
      <c r="F669" s="7" t="s">
        <v>22</v>
      </c>
      <c r="G669" s="7">
        <v>2</v>
      </c>
      <c r="H669" s="8">
        <v>45.81</v>
      </c>
      <c r="I669" s="9">
        <v>15</v>
      </c>
      <c r="J669" s="8">
        <v>77.88</v>
      </c>
      <c r="K669" s="8">
        <v>40.69</v>
      </c>
      <c r="L669" s="10" t="s">
        <v>17</v>
      </c>
    </row>
    <row r="670" spans="1:12" x14ac:dyDescent="0.3">
      <c r="A670" s="5" t="s">
        <v>1247</v>
      </c>
      <c r="B670" s="6">
        <v>45876</v>
      </c>
      <c r="C670" s="7" t="s">
        <v>1248</v>
      </c>
      <c r="D670" s="7" t="s">
        <v>20</v>
      </c>
      <c r="E670" s="7" t="s">
        <v>43</v>
      </c>
      <c r="F670" s="7" t="s">
        <v>22</v>
      </c>
      <c r="G670" s="7">
        <v>2</v>
      </c>
      <c r="H670" s="8">
        <v>47.33</v>
      </c>
      <c r="I670" s="9">
        <v>15</v>
      </c>
      <c r="J670" s="8">
        <v>80.459999999999994</v>
      </c>
      <c r="K670" s="8">
        <v>32.799999999999997</v>
      </c>
      <c r="L670" s="10" t="s">
        <v>34</v>
      </c>
    </row>
    <row r="671" spans="1:12" x14ac:dyDescent="0.3">
      <c r="A671" s="5" t="s">
        <v>1249</v>
      </c>
      <c r="B671" s="6">
        <v>45641</v>
      </c>
      <c r="C671" s="7" t="s">
        <v>1250</v>
      </c>
      <c r="D671" s="7" t="s">
        <v>20</v>
      </c>
      <c r="E671" s="7" t="s">
        <v>232</v>
      </c>
      <c r="F671" s="7" t="s">
        <v>22</v>
      </c>
      <c r="G671" s="7">
        <v>3</v>
      </c>
      <c r="H671" s="8">
        <v>15.92</v>
      </c>
      <c r="I671" s="9">
        <v>5</v>
      </c>
      <c r="J671" s="8">
        <v>45.37</v>
      </c>
      <c r="K671" s="8">
        <v>28.5</v>
      </c>
      <c r="L671" s="10" t="s">
        <v>23</v>
      </c>
    </row>
    <row r="672" spans="1:12" x14ac:dyDescent="0.3">
      <c r="A672" s="5" t="s">
        <v>1251</v>
      </c>
      <c r="B672" s="6">
        <v>45466</v>
      </c>
      <c r="C672" s="7" t="s">
        <v>372</v>
      </c>
      <c r="D672" s="7" t="s">
        <v>14</v>
      </c>
      <c r="E672" s="7" t="s">
        <v>253</v>
      </c>
      <c r="F672" s="7" t="s">
        <v>49</v>
      </c>
      <c r="G672" s="7">
        <v>2</v>
      </c>
      <c r="H672" s="8">
        <v>44.37</v>
      </c>
      <c r="I672" s="9">
        <v>25</v>
      </c>
      <c r="J672" s="8">
        <v>66.55</v>
      </c>
      <c r="K672" s="8">
        <v>20.28</v>
      </c>
      <c r="L672" s="10" t="s">
        <v>17</v>
      </c>
    </row>
    <row r="673" spans="1:12" x14ac:dyDescent="0.3">
      <c r="A673" s="5" t="s">
        <v>1252</v>
      </c>
      <c r="B673" s="6">
        <v>46007</v>
      </c>
      <c r="C673" s="7" t="s">
        <v>980</v>
      </c>
      <c r="D673" s="7" t="s">
        <v>14</v>
      </c>
      <c r="E673" s="7" t="s">
        <v>74</v>
      </c>
      <c r="F673" s="7" t="s">
        <v>75</v>
      </c>
      <c r="G673" s="7">
        <v>2</v>
      </c>
      <c r="H673" s="8">
        <v>11.42</v>
      </c>
      <c r="I673" s="9">
        <v>0</v>
      </c>
      <c r="J673" s="8">
        <v>22.84</v>
      </c>
      <c r="K673" s="8">
        <v>6.78</v>
      </c>
      <c r="L673" s="10" t="s">
        <v>23</v>
      </c>
    </row>
    <row r="674" spans="1:12" x14ac:dyDescent="0.3">
      <c r="A674" s="5" t="s">
        <v>1253</v>
      </c>
      <c r="B674" s="6">
        <v>45993</v>
      </c>
      <c r="C674" s="7" t="s">
        <v>1107</v>
      </c>
      <c r="D674" s="7" t="s">
        <v>26</v>
      </c>
      <c r="E674" s="7" t="s">
        <v>184</v>
      </c>
      <c r="F674" s="7" t="s">
        <v>49</v>
      </c>
      <c r="G674" s="7">
        <v>2</v>
      </c>
      <c r="H674" s="8">
        <v>19.690000000000001</v>
      </c>
      <c r="I674" s="9">
        <v>5</v>
      </c>
      <c r="J674" s="8">
        <v>37.409999999999997</v>
      </c>
      <c r="K674" s="8">
        <v>19.399999999999999</v>
      </c>
      <c r="L674" s="10" t="s">
        <v>17</v>
      </c>
    </row>
    <row r="675" spans="1:12" x14ac:dyDescent="0.3">
      <c r="A675" s="5" t="s">
        <v>1254</v>
      </c>
      <c r="B675" s="6">
        <v>45631</v>
      </c>
      <c r="C675" s="7" t="s">
        <v>1255</v>
      </c>
      <c r="D675" s="7" t="s">
        <v>14</v>
      </c>
      <c r="E675" s="7" t="s">
        <v>61</v>
      </c>
      <c r="F675" s="7" t="s">
        <v>39</v>
      </c>
      <c r="G675" s="7">
        <v>4</v>
      </c>
      <c r="H675" s="8">
        <v>10.199999999999999</v>
      </c>
      <c r="I675" s="9">
        <v>20</v>
      </c>
      <c r="J675" s="8">
        <v>32.64</v>
      </c>
      <c r="K675" s="8">
        <v>9.98</v>
      </c>
      <c r="L675" s="10" t="s">
        <v>17</v>
      </c>
    </row>
    <row r="676" spans="1:12" x14ac:dyDescent="0.3">
      <c r="A676" s="5" t="s">
        <v>1256</v>
      </c>
      <c r="B676" s="6">
        <v>45994</v>
      </c>
      <c r="C676" s="7" t="s">
        <v>1257</v>
      </c>
      <c r="D676" s="7" t="s">
        <v>26</v>
      </c>
      <c r="E676" s="7" t="s">
        <v>105</v>
      </c>
      <c r="F676" s="7" t="s">
        <v>39</v>
      </c>
      <c r="G676" s="7">
        <v>2</v>
      </c>
      <c r="H676" s="8">
        <v>34.14</v>
      </c>
      <c r="I676" s="9">
        <v>10</v>
      </c>
      <c r="J676" s="8">
        <v>61.45</v>
      </c>
      <c r="K676" s="8">
        <v>18.149999999999999</v>
      </c>
      <c r="L676" s="10" t="s">
        <v>17</v>
      </c>
    </row>
    <row r="677" spans="1:12" x14ac:dyDescent="0.3">
      <c r="A677" s="5" t="s">
        <v>1258</v>
      </c>
      <c r="B677" s="6">
        <v>45705</v>
      </c>
      <c r="C677" s="7" t="s">
        <v>1259</v>
      </c>
      <c r="D677" s="7" t="s">
        <v>26</v>
      </c>
      <c r="E677" s="7" t="s">
        <v>502</v>
      </c>
      <c r="F677" s="7" t="s">
        <v>22</v>
      </c>
      <c r="G677" s="7">
        <v>1</v>
      </c>
      <c r="H677" s="8">
        <v>12.42</v>
      </c>
      <c r="I677" s="9">
        <v>0</v>
      </c>
      <c r="J677" s="8">
        <v>12.42</v>
      </c>
      <c r="K677" s="8">
        <v>6.04</v>
      </c>
      <c r="L677" s="10" t="s">
        <v>17</v>
      </c>
    </row>
    <row r="678" spans="1:12" x14ac:dyDescent="0.3">
      <c r="A678" s="5" t="s">
        <v>1260</v>
      </c>
      <c r="B678" s="6">
        <v>45404</v>
      </c>
      <c r="C678" s="7" t="s">
        <v>1261</v>
      </c>
      <c r="D678" s="7" t="s">
        <v>20</v>
      </c>
      <c r="E678" s="7" t="s">
        <v>253</v>
      </c>
      <c r="F678" s="7" t="s">
        <v>49</v>
      </c>
      <c r="G678" s="7">
        <v>1</v>
      </c>
      <c r="H678" s="8">
        <v>63.15</v>
      </c>
      <c r="I678" s="9">
        <v>25</v>
      </c>
      <c r="J678" s="8">
        <v>47.36</v>
      </c>
      <c r="K678" s="8">
        <v>25.01</v>
      </c>
      <c r="L678" s="10" t="s">
        <v>23</v>
      </c>
    </row>
    <row r="679" spans="1:12" x14ac:dyDescent="0.3">
      <c r="A679" s="5" t="s">
        <v>1262</v>
      </c>
      <c r="B679" s="6">
        <v>45481</v>
      </c>
      <c r="C679" s="7" t="s">
        <v>1206</v>
      </c>
      <c r="D679" s="7" t="s">
        <v>26</v>
      </c>
      <c r="E679" s="7" t="s">
        <v>214</v>
      </c>
      <c r="F679" s="7" t="s">
        <v>49</v>
      </c>
      <c r="G679" s="7">
        <v>1</v>
      </c>
      <c r="H679" s="8">
        <v>88.51</v>
      </c>
      <c r="I679" s="9">
        <v>5</v>
      </c>
      <c r="J679" s="8">
        <v>84.08</v>
      </c>
      <c r="K679" s="8">
        <v>37.93</v>
      </c>
      <c r="L679" s="10" t="s">
        <v>34</v>
      </c>
    </row>
    <row r="680" spans="1:12" x14ac:dyDescent="0.3">
      <c r="A680" s="5" t="s">
        <v>1263</v>
      </c>
      <c r="B680" s="6">
        <v>45420</v>
      </c>
      <c r="C680" s="7" t="s">
        <v>535</v>
      </c>
      <c r="D680" s="7" t="s">
        <v>14</v>
      </c>
      <c r="E680" s="7" t="s">
        <v>324</v>
      </c>
      <c r="F680" s="7" t="s">
        <v>16</v>
      </c>
      <c r="G680" s="7">
        <v>1</v>
      </c>
      <c r="H680" s="8">
        <v>24.59</v>
      </c>
      <c r="I680" s="9">
        <v>0</v>
      </c>
      <c r="J680" s="8">
        <v>24.59</v>
      </c>
      <c r="K680" s="8">
        <v>4.07</v>
      </c>
      <c r="L680" s="10" t="s">
        <v>34</v>
      </c>
    </row>
    <row r="681" spans="1:12" x14ac:dyDescent="0.3">
      <c r="A681" s="5" t="s">
        <v>1264</v>
      </c>
      <c r="B681" s="6">
        <v>45458</v>
      </c>
      <c r="C681" s="7" t="s">
        <v>1265</v>
      </c>
      <c r="D681" s="7" t="s">
        <v>20</v>
      </c>
      <c r="E681" s="7" t="s">
        <v>43</v>
      </c>
      <c r="F681" s="7" t="s">
        <v>22</v>
      </c>
      <c r="G681" s="7">
        <v>1</v>
      </c>
      <c r="H681" s="8">
        <v>47.72</v>
      </c>
      <c r="I681" s="9">
        <v>15</v>
      </c>
      <c r="J681" s="8">
        <v>40.56</v>
      </c>
      <c r="K681" s="8">
        <v>18.260000000000002</v>
      </c>
      <c r="L681" s="10" t="s">
        <v>17</v>
      </c>
    </row>
    <row r="682" spans="1:12" x14ac:dyDescent="0.3">
      <c r="A682" s="5" t="s">
        <v>1266</v>
      </c>
      <c r="B682" s="6">
        <v>45299</v>
      </c>
      <c r="C682" s="7" t="s">
        <v>1267</v>
      </c>
      <c r="D682" s="7" t="s">
        <v>42</v>
      </c>
      <c r="E682" s="7" t="s">
        <v>105</v>
      </c>
      <c r="F682" s="7" t="s">
        <v>39</v>
      </c>
      <c r="G682" s="7">
        <v>2</v>
      </c>
      <c r="H682" s="8">
        <v>76.75</v>
      </c>
      <c r="I682" s="9">
        <v>0</v>
      </c>
      <c r="J682" s="8">
        <v>153.5</v>
      </c>
      <c r="K682" s="8">
        <v>55.74</v>
      </c>
      <c r="L682" s="10" t="s">
        <v>23</v>
      </c>
    </row>
    <row r="683" spans="1:12" x14ac:dyDescent="0.3">
      <c r="A683" s="5" t="s">
        <v>1268</v>
      </c>
      <c r="B683" s="6">
        <v>45694</v>
      </c>
      <c r="C683" s="7" t="s">
        <v>1269</v>
      </c>
      <c r="D683" s="7" t="s">
        <v>42</v>
      </c>
      <c r="E683" s="7" t="s">
        <v>214</v>
      </c>
      <c r="F683" s="7" t="s">
        <v>49</v>
      </c>
      <c r="G683" s="7">
        <v>1</v>
      </c>
      <c r="H683" s="8">
        <v>86.73</v>
      </c>
      <c r="I683" s="9">
        <v>15</v>
      </c>
      <c r="J683" s="8">
        <v>73.72</v>
      </c>
      <c r="K683" s="8">
        <v>27.68</v>
      </c>
      <c r="L683" s="10" t="s">
        <v>23</v>
      </c>
    </row>
    <row r="684" spans="1:12" x14ac:dyDescent="0.3">
      <c r="A684" s="5" t="s">
        <v>1270</v>
      </c>
      <c r="B684" s="6">
        <v>45630</v>
      </c>
      <c r="C684" s="7" t="s">
        <v>1271</v>
      </c>
      <c r="D684" s="7" t="s">
        <v>14</v>
      </c>
      <c r="E684" s="7" t="s">
        <v>43</v>
      </c>
      <c r="F684" s="7" t="s">
        <v>22</v>
      </c>
      <c r="G684" s="7">
        <v>2</v>
      </c>
      <c r="H684" s="8">
        <v>45.06</v>
      </c>
      <c r="I684" s="9">
        <v>0</v>
      </c>
      <c r="J684" s="8">
        <v>90.12</v>
      </c>
      <c r="K684" s="8">
        <v>49.5</v>
      </c>
      <c r="L684" s="10" t="s">
        <v>17</v>
      </c>
    </row>
    <row r="685" spans="1:12" x14ac:dyDescent="0.3">
      <c r="A685" s="5" t="s">
        <v>1272</v>
      </c>
      <c r="B685" s="6">
        <v>45910</v>
      </c>
      <c r="C685" s="7" t="s">
        <v>1273</v>
      </c>
      <c r="D685" s="7" t="s">
        <v>14</v>
      </c>
      <c r="E685" s="7" t="s">
        <v>148</v>
      </c>
      <c r="F685" s="7" t="s">
        <v>16</v>
      </c>
      <c r="G685" s="7">
        <v>1</v>
      </c>
      <c r="H685" s="8">
        <v>70.52</v>
      </c>
      <c r="I685" s="9">
        <v>20</v>
      </c>
      <c r="J685" s="8">
        <v>56.42</v>
      </c>
      <c r="K685" s="8">
        <v>11.21</v>
      </c>
      <c r="L685" s="10" t="s">
        <v>23</v>
      </c>
    </row>
    <row r="686" spans="1:12" x14ac:dyDescent="0.3">
      <c r="A686" s="5" t="s">
        <v>1274</v>
      </c>
      <c r="B686" s="6">
        <v>45904</v>
      </c>
      <c r="C686" s="7" t="s">
        <v>1275</v>
      </c>
      <c r="D686" s="7" t="s">
        <v>37</v>
      </c>
      <c r="E686" s="7" t="s">
        <v>291</v>
      </c>
      <c r="F686" s="7" t="s">
        <v>22</v>
      </c>
      <c r="G686" s="7">
        <v>1</v>
      </c>
      <c r="H686" s="8">
        <v>19.16</v>
      </c>
      <c r="I686" s="9">
        <v>10</v>
      </c>
      <c r="J686" s="8">
        <v>17.239999999999998</v>
      </c>
      <c r="K686" s="8">
        <v>11.2</v>
      </c>
      <c r="L686" s="10" t="s">
        <v>17</v>
      </c>
    </row>
    <row r="687" spans="1:12" x14ac:dyDescent="0.3">
      <c r="A687" s="5" t="s">
        <v>1276</v>
      </c>
      <c r="B687" s="6">
        <v>45345</v>
      </c>
      <c r="C687" s="7" t="s">
        <v>738</v>
      </c>
      <c r="D687" s="7" t="s">
        <v>20</v>
      </c>
      <c r="E687" s="7" t="s">
        <v>30</v>
      </c>
      <c r="F687" s="7" t="s">
        <v>16</v>
      </c>
      <c r="G687" s="7">
        <v>2</v>
      </c>
      <c r="H687" s="8">
        <v>27.17</v>
      </c>
      <c r="I687" s="9">
        <v>5</v>
      </c>
      <c r="J687" s="8">
        <v>51.62</v>
      </c>
      <c r="K687" s="8">
        <v>7.61</v>
      </c>
      <c r="L687" s="10" t="s">
        <v>17</v>
      </c>
    </row>
    <row r="688" spans="1:12" x14ac:dyDescent="0.3">
      <c r="A688" s="5" t="s">
        <v>1277</v>
      </c>
      <c r="B688" s="6">
        <v>45561</v>
      </c>
      <c r="C688" s="7" t="s">
        <v>726</v>
      </c>
      <c r="D688" s="7" t="s">
        <v>26</v>
      </c>
      <c r="E688" s="7" t="s">
        <v>83</v>
      </c>
      <c r="F688" s="7" t="s">
        <v>22</v>
      </c>
      <c r="G688" s="7">
        <v>1</v>
      </c>
      <c r="H688" s="8">
        <v>35.4</v>
      </c>
      <c r="I688" s="9">
        <v>0</v>
      </c>
      <c r="J688" s="8">
        <v>35.4</v>
      </c>
      <c r="K688" s="8">
        <v>15.17</v>
      </c>
      <c r="L688" s="10" t="s">
        <v>17</v>
      </c>
    </row>
    <row r="689" spans="1:12" x14ac:dyDescent="0.3">
      <c r="A689" s="5" t="s">
        <v>1278</v>
      </c>
      <c r="B689" s="6">
        <v>45507</v>
      </c>
      <c r="C689" s="7" t="s">
        <v>1279</v>
      </c>
      <c r="D689" s="7" t="s">
        <v>14</v>
      </c>
      <c r="E689" s="7" t="s">
        <v>74</v>
      </c>
      <c r="F689" s="7" t="s">
        <v>75</v>
      </c>
      <c r="G689" s="7">
        <v>1</v>
      </c>
      <c r="H689" s="8">
        <v>16.11</v>
      </c>
      <c r="I689" s="9">
        <v>10</v>
      </c>
      <c r="J689" s="8">
        <v>14.5</v>
      </c>
      <c r="K689" s="8">
        <v>2.77</v>
      </c>
      <c r="L689" s="10" t="s">
        <v>23</v>
      </c>
    </row>
    <row r="690" spans="1:12" x14ac:dyDescent="0.3">
      <c r="A690" s="5" t="s">
        <v>1280</v>
      </c>
      <c r="B690" s="6">
        <v>45886</v>
      </c>
      <c r="C690" s="7" t="s">
        <v>1281</v>
      </c>
      <c r="D690" s="7" t="s">
        <v>26</v>
      </c>
      <c r="E690" s="7" t="s">
        <v>184</v>
      </c>
      <c r="F690" s="7" t="s">
        <v>49</v>
      </c>
      <c r="G690" s="7">
        <v>1</v>
      </c>
      <c r="H690" s="8">
        <v>55.15</v>
      </c>
      <c r="I690" s="9">
        <v>20</v>
      </c>
      <c r="J690" s="8">
        <v>44.12</v>
      </c>
      <c r="K690" s="8">
        <v>16.079999999999998</v>
      </c>
      <c r="L690" s="10" t="s">
        <v>17</v>
      </c>
    </row>
    <row r="691" spans="1:12" x14ac:dyDescent="0.3">
      <c r="A691" s="5" t="s">
        <v>1282</v>
      </c>
      <c r="B691" s="6">
        <v>45305</v>
      </c>
      <c r="C691" s="7" t="s">
        <v>947</v>
      </c>
      <c r="D691" s="7" t="s">
        <v>14</v>
      </c>
      <c r="E691" s="7" t="s">
        <v>291</v>
      </c>
      <c r="F691" s="7" t="s">
        <v>22</v>
      </c>
      <c r="G691" s="7">
        <v>3</v>
      </c>
      <c r="H691" s="8">
        <v>44.5</v>
      </c>
      <c r="I691" s="9">
        <v>20</v>
      </c>
      <c r="J691" s="8">
        <v>106.8</v>
      </c>
      <c r="K691" s="8">
        <v>68.3</v>
      </c>
      <c r="L691" s="10" t="s">
        <v>34</v>
      </c>
    </row>
    <row r="692" spans="1:12" x14ac:dyDescent="0.3">
      <c r="A692" s="5" t="s">
        <v>1283</v>
      </c>
      <c r="B692" s="6">
        <v>45796</v>
      </c>
      <c r="C692" s="7" t="s">
        <v>1284</v>
      </c>
      <c r="D692" s="7" t="s">
        <v>20</v>
      </c>
      <c r="E692" s="7" t="s">
        <v>55</v>
      </c>
      <c r="F692" s="7" t="s">
        <v>16</v>
      </c>
      <c r="G692" s="7">
        <v>2</v>
      </c>
      <c r="H692" s="8">
        <v>134.03</v>
      </c>
      <c r="I692" s="9">
        <v>15</v>
      </c>
      <c r="J692" s="8">
        <v>227.85</v>
      </c>
      <c r="K692" s="8">
        <v>23.21</v>
      </c>
      <c r="L692" s="10" t="s">
        <v>17</v>
      </c>
    </row>
    <row r="693" spans="1:12" x14ac:dyDescent="0.3">
      <c r="A693" s="5" t="s">
        <v>1285</v>
      </c>
      <c r="B693" s="6">
        <v>45357</v>
      </c>
      <c r="C693" s="7" t="s">
        <v>1286</v>
      </c>
      <c r="D693" s="7" t="s">
        <v>14</v>
      </c>
      <c r="E693" s="7" t="s">
        <v>133</v>
      </c>
      <c r="F693" s="7" t="s">
        <v>75</v>
      </c>
      <c r="G693" s="7">
        <v>1</v>
      </c>
      <c r="H693" s="8">
        <v>50.87</v>
      </c>
      <c r="I693" s="9">
        <v>10</v>
      </c>
      <c r="J693" s="8">
        <v>45.78</v>
      </c>
      <c r="K693" s="8">
        <v>10.39</v>
      </c>
      <c r="L693" s="10" t="s">
        <v>17</v>
      </c>
    </row>
    <row r="694" spans="1:12" x14ac:dyDescent="0.3">
      <c r="A694" s="5" t="s">
        <v>1287</v>
      </c>
      <c r="B694" s="6">
        <v>45788</v>
      </c>
      <c r="C694" s="7" t="s">
        <v>859</v>
      </c>
      <c r="D694" s="7" t="s">
        <v>37</v>
      </c>
      <c r="E694" s="7" t="s">
        <v>21</v>
      </c>
      <c r="F694" s="7" t="s">
        <v>22</v>
      </c>
      <c r="G694" s="7">
        <v>4</v>
      </c>
      <c r="H694" s="8">
        <v>15.95</v>
      </c>
      <c r="I694" s="9">
        <v>25</v>
      </c>
      <c r="J694" s="8">
        <v>47.85</v>
      </c>
      <c r="K694" s="8">
        <v>27.28</v>
      </c>
      <c r="L694" s="10" t="s">
        <v>23</v>
      </c>
    </row>
    <row r="695" spans="1:12" x14ac:dyDescent="0.3">
      <c r="A695" s="5" t="s">
        <v>1288</v>
      </c>
      <c r="B695" s="6">
        <v>45499</v>
      </c>
      <c r="C695" s="7" t="s">
        <v>1289</v>
      </c>
      <c r="D695" s="7" t="s">
        <v>20</v>
      </c>
      <c r="E695" s="7" t="s">
        <v>88</v>
      </c>
      <c r="F695" s="7" t="s">
        <v>22</v>
      </c>
      <c r="G695" s="7">
        <v>3</v>
      </c>
      <c r="H695" s="8">
        <v>31.47</v>
      </c>
      <c r="I695" s="9">
        <v>20</v>
      </c>
      <c r="J695" s="8">
        <v>75.53</v>
      </c>
      <c r="K695" s="8">
        <v>35.4</v>
      </c>
      <c r="L695" s="10" t="s">
        <v>17</v>
      </c>
    </row>
    <row r="696" spans="1:12" x14ac:dyDescent="0.3">
      <c r="A696" s="5" t="s">
        <v>1290</v>
      </c>
      <c r="B696" s="6">
        <v>45808</v>
      </c>
      <c r="C696" s="7" t="s">
        <v>1291</v>
      </c>
      <c r="D696" s="7" t="s">
        <v>26</v>
      </c>
      <c r="E696" s="7" t="s">
        <v>94</v>
      </c>
      <c r="F696" s="7" t="s">
        <v>75</v>
      </c>
      <c r="G696" s="7">
        <v>2</v>
      </c>
      <c r="H696" s="8">
        <v>58.65</v>
      </c>
      <c r="I696" s="9">
        <v>20</v>
      </c>
      <c r="J696" s="8">
        <v>93.84</v>
      </c>
      <c r="K696" s="8">
        <v>24.61</v>
      </c>
      <c r="L696" s="10" t="s">
        <v>17</v>
      </c>
    </row>
    <row r="697" spans="1:12" x14ac:dyDescent="0.3">
      <c r="A697" s="5" t="s">
        <v>1292</v>
      </c>
      <c r="B697" s="6">
        <v>45326</v>
      </c>
      <c r="C697" s="7" t="s">
        <v>844</v>
      </c>
      <c r="D697" s="7" t="s">
        <v>26</v>
      </c>
      <c r="E697" s="7" t="s">
        <v>253</v>
      </c>
      <c r="F697" s="7" t="s">
        <v>49</v>
      </c>
      <c r="G697" s="7">
        <v>2</v>
      </c>
      <c r="H697" s="8">
        <v>60</v>
      </c>
      <c r="I697" s="9">
        <v>0</v>
      </c>
      <c r="J697" s="8">
        <v>120</v>
      </c>
      <c r="K697" s="8">
        <v>63.11</v>
      </c>
      <c r="L697" s="10" t="s">
        <v>34</v>
      </c>
    </row>
    <row r="698" spans="1:12" x14ac:dyDescent="0.3">
      <c r="A698" s="5" t="s">
        <v>1293</v>
      </c>
      <c r="B698" s="6">
        <v>45379</v>
      </c>
      <c r="C698" s="7" t="s">
        <v>1294</v>
      </c>
      <c r="D698" s="7" t="s">
        <v>14</v>
      </c>
      <c r="E698" s="7" t="s">
        <v>136</v>
      </c>
      <c r="F698" s="7" t="s">
        <v>75</v>
      </c>
      <c r="G698" s="7">
        <v>2</v>
      </c>
      <c r="H698" s="8">
        <v>49.98</v>
      </c>
      <c r="I698" s="9">
        <v>10</v>
      </c>
      <c r="J698" s="8">
        <v>89.96</v>
      </c>
      <c r="K698" s="8">
        <v>19.36</v>
      </c>
      <c r="L698" s="10" t="s">
        <v>23</v>
      </c>
    </row>
    <row r="699" spans="1:12" x14ac:dyDescent="0.3">
      <c r="A699" s="5" t="s">
        <v>1295</v>
      </c>
      <c r="B699" s="6">
        <v>45902</v>
      </c>
      <c r="C699" s="7" t="s">
        <v>1214</v>
      </c>
      <c r="D699" s="7" t="s">
        <v>20</v>
      </c>
      <c r="E699" s="7" t="s">
        <v>291</v>
      </c>
      <c r="F699" s="7" t="s">
        <v>22</v>
      </c>
      <c r="G699" s="7">
        <v>1</v>
      </c>
      <c r="H699" s="8">
        <v>9.5</v>
      </c>
      <c r="I699" s="9">
        <v>0</v>
      </c>
      <c r="J699" s="8">
        <v>9.5</v>
      </c>
      <c r="K699" s="8">
        <v>4.01</v>
      </c>
      <c r="L699" s="10" t="s">
        <v>17</v>
      </c>
    </row>
    <row r="700" spans="1:12" x14ac:dyDescent="0.3">
      <c r="A700" s="5" t="s">
        <v>1296</v>
      </c>
      <c r="B700" s="6">
        <v>45716</v>
      </c>
      <c r="C700" s="7" t="s">
        <v>629</v>
      </c>
      <c r="D700" s="7" t="s">
        <v>42</v>
      </c>
      <c r="E700" s="7" t="s">
        <v>187</v>
      </c>
      <c r="F700" s="7" t="s">
        <v>75</v>
      </c>
      <c r="G700" s="7">
        <v>1</v>
      </c>
      <c r="H700" s="8">
        <v>42.93</v>
      </c>
      <c r="I700" s="9">
        <v>15</v>
      </c>
      <c r="J700" s="8">
        <v>36.49</v>
      </c>
      <c r="K700" s="8">
        <v>6.95</v>
      </c>
      <c r="L700" s="10" t="s">
        <v>23</v>
      </c>
    </row>
    <row r="701" spans="1:12" x14ac:dyDescent="0.3">
      <c r="A701" s="5" t="s">
        <v>1297</v>
      </c>
      <c r="B701" s="6">
        <v>45812</v>
      </c>
      <c r="C701" s="7" t="s">
        <v>1298</v>
      </c>
      <c r="D701" s="7" t="s">
        <v>20</v>
      </c>
      <c r="E701" s="7" t="s">
        <v>556</v>
      </c>
      <c r="F701" s="7" t="s">
        <v>49</v>
      </c>
      <c r="G701" s="7">
        <v>1</v>
      </c>
      <c r="H701" s="8">
        <v>72.98</v>
      </c>
      <c r="I701" s="9">
        <v>10</v>
      </c>
      <c r="J701" s="8">
        <v>65.680000000000007</v>
      </c>
      <c r="K701" s="8">
        <v>27.75</v>
      </c>
      <c r="L701" s="10" t="s">
        <v>17</v>
      </c>
    </row>
    <row r="702" spans="1:12" x14ac:dyDescent="0.3">
      <c r="A702" s="5" t="s">
        <v>1299</v>
      </c>
      <c r="B702" s="6">
        <v>45481</v>
      </c>
      <c r="C702" s="7" t="s">
        <v>1300</v>
      </c>
      <c r="D702" s="7" t="s">
        <v>14</v>
      </c>
      <c r="E702" s="7" t="s">
        <v>61</v>
      </c>
      <c r="F702" s="7" t="s">
        <v>39</v>
      </c>
      <c r="G702" s="7">
        <v>2</v>
      </c>
      <c r="H702" s="8">
        <v>63.32</v>
      </c>
      <c r="I702" s="9">
        <v>5</v>
      </c>
      <c r="J702" s="8">
        <v>120.31</v>
      </c>
      <c r="K702" s="8">
        <v>31.81</v>
      </c>
      <c r="L702" s="10" t="s">
        <v>23</v>
      </c>
    </row>
    <row r="703" spans="1:12" x14ac:dyDescent="0.3">
      <c r="A703" s="5" t="s">
        <v>1301</v>
      </c>
      <c r="B703" s="6">
        <v>46006</v>
      </c>
      <c r="C703" s="7" t="s">
        <v>451</v>
      </c>
      <c r="D703" s="7" t="s">
        <v>42</v>
      </c>
      <c r="E703" s="7" t="s">
        <v>43</v>
      </c>
      <c r="F703" s="7" t="s">
        <v>22</v>
      </c>
      <c r="G703" s="7">
        <v>2</v>
      </c>
      <c r="H703" s="8">
        <v>37.29</v>
      </c>
      <c r="I703" s="9">
        <v>5</v>
      </c>
      <c r="J703" s="8">
        <v>70.849999999999994</v>
      </c>
      <c r="K703" s="8">
        <v>37.61</v>
      </c>
      <c r="L703" s="10" t="s">
        <v>17</v>
      </c>
    </row>
    <row r="704" spans="1:12" x14ac:dyDescent="0.3">
      <c r="A704" s="5" t="s">
        <v>1302</v>
      </c>
      <c r="B704" s="6">
        <v>45502</v>
      </c>
      <c r="C704" s="7" t="s">
        <v>1303</v>
      </c>
      <c r="D704" s="7" t="s">
        <v>20</v>
      </c>
      <c r="E704" s="7" t="s">
        <v>151</v>
      </c>
      <c r="F704" s="7" t="s">
        <v>39</v>
      </c>
      <c r="G704" s="7">
        <v>1</v>
      </c>
      <c r="H704" s="8">
        <v>67.72</v>
      </c>
      <c r="I704" s="9">
        <v>5</v>
      </c>
      <c r="J704" s="8">
        <v>64.33</v>
      </c>
      <c r="K704" s="8">
        <v>22.32</v>
      </c>
      <c r="L704" s="10" t="s">
        <v>17</v>
      </c>
    </row>
    <row r="705" spans="1:12" x14ac:dyDescent="0.3">
      <c r="A705" s="5" t="s">
        <v>1304</v>
      </c>
      <c r="B705" s="6">
        <v>45605</v>
      </c>
      <c r="C705" s="7" t="s">
        <v>1094</v>
      </c>
      <c r="D705" s="7" t="s">
        <v>26</v>
      </c>
      <c r="E705" s="7" t="s">
        <v>118</v>
      </c>
      <c r="F705" s="7" t="s">
        <v>49</v>
      </c>
      <c r="G705" s="7">
        <v>2</v>
      </c>
      <c r="H705" s="8">
        <v>65.89</v>
      </c>
      <c r="I705" s="9">
        <v>25</v>
      </c>
      <c r="J705" s="8">
        <v>98.84</v>
      </c>
      <c r="K705" s="8">
        <v>50.13</v>
      </c>
      <c r="L705" s="10" t="s">
        <v>17</v>
      </c>
    </row>
    <row r="706" spans="1:12" x14ac:dyDescent="0.3">
      <c r="A706" s="5" t="s">
        <v>1305</v>
      </c>
      <c r="B706" s="6">
        <v>45336</v>
      </c>
      <c r="C706" s="7" t="s">
        <v>1180</v>
      </c>
      <c r="D706" s="7" t="s">
        <v>26</v>
      </c>
      <c r="E706" s="7" t="s">
        <v>314</v>
      </c>
      <c r="F706" s="7" t="s">
        <v>16</v>
      </c>
      <c r="G706" s="7">
        <v>1</v>
      </c>
      <c r="H706" s="8">
        <v>116.23</v>
      </c>
      <c r="I706" s="9">
        <v>0</v>
      </c>
      <c r="J706" s="8">
        <v>116.23</v>
      </c>
      <c r="K706" s="8">
        <v>25.84</v>
      </c>
      <c r="L706" s="10" t="s">
        <v>34</v>
      </c>
    </row>
    <row r="707" spans="1:12" x14ac:dyDescent="0.3">
      <c r="A707" s="5" t="s">
        <v>1306</v>
      </c>
      <c r="B707" s="6">
        <v>45475</v>
      </c>
      <c r="C707" s="7" t="s">
        <v>1307</v>
      </c>
      <c r="D707" s="7" t="s">
        <v>14</v>
      </c>
      <c r="E707" s="7" t="s">
        <v>148</v>
      </c>
      <c r="F707" s="7" t="s">
        <v>16</v>
      </c>
      <c r="G707" s="7">
        <v>4</v>
      </c>
      <c r="H707" s="8">
        <v>76.290000000000006</v>
      </c>
      <c r="I707" s="9">
        <v>0</v>
      </c>
      <c r="J707" s="8">
        <v>305.16000000000003</v>
      </c>
      <c r="K707" s="8">
        <v>32.03</v>
      </c>
      <c r="L707" s="10" t="s">
        <v>23</v>
      </c>
    </row>
    <row r="708" spans="1:12" x14ac:dyDescent="0.3">
      <c r="A708" s="5" t="s">
        <v>1308</v>
      </c>
      <c r="B708" s="6">
        <v>45824</v>
      </c>
      <c r="C708" s="7" t="s">
        <v>1309</v>
      </c>
      <c r="D708" s="7" t="s">
        <v>20</v>
      </c>
      <c r="E708" s="7" t="s">
        <v>118</v>
      </c>
      <c r="F708" s="7" t="s">
        <v>49</v>
      </c>
      <c r="G708" s="7">
        <v>5</v>
      </c>
      <c r="H708" s="8">
        <v>47.36</v>
      </c>
      <c r="I708" s="9">
        <v>10</v>
      </c>
      <c r="J708" s="8">
        <v>213.12</v>
      </c>
      <c r="K708" s="8">
        <v>116.36</v>
      </c>
      <c r="L708" s="10" t="s">
        <v>17</v>
      </c>
    </row>
    <row r="709" spans="1:12" x14ac:dyDescent="0.3">
      <c r="A709" s="5" t="s">
        <v>1310</v>
      </c>
      <c r="B709" s="6">
        <v>45991</v>
      </c>
      <c r="C709" s="7" t="s">
        <v>1311</v>
      </c>
      <c r="D709" s="7" t="s">
        <v>20</v>
      </c>
      <c r="E709" s="7" t="s">
        <v>91</v>
      </c>
      <c r="F709" s="7" t="s">
        <v>49</v>
      </c>
      <c r="G709" s="7">
        <v>1</v>
      </c>
      <c r="H709" s="8">
        <v>58.99</v>
      </c>
      <c r="I709" s="9">
        <v>15</v>
      </c>
      <c r="J709" s="8">
        <v>50.14</v>
      </c>
      <c r="K709" s="8">
        <v>18.760000000000002</v>
      </c>
      <c r="L709" s="10" t="s">
        <v>23</v>
      </c>
    </row>
    <row r="710" spans="1:12" x14ac:dyDescent="0.3">
      <c r="A710" s="5" t="s">
        <v>1312</v>
      </c>
      <c r="B710" s="6">
        <v>46002</v>
      </c>
      <c r="C710" s="7" t="s">
        <v>1313</v>
      </c>
      <c r="D710" s="7" t="s">
        <v>20</v>
      </c>
      <c r="E710" s="7" t="s">
        <v>108</v>
      </c>
      <c r="F710" s="7" t="s">
        <v>75</v>
      </c>
      <c r="G710" s="7">
        <v>2</v>
      </c>
      <c r="H710" s="8">
        <v>54.6</v>
      </c>
      <c r="I710" s="9">
        <v>10</v>
      </c>
      <c r="J710" s="8">
        <v>98.28</v>
      </c>
      <c r="K710" s="8">
        <v>33.090000000000003</v>
      </c>
      <c r="L710" s="10" t="s">
        <v>34</v>
      </c>
    </row>
    <row r="711" spans="1:12" x14ac:dyDescent="0.3">
      <c r="A711" s="5" t="s">
        <v>1314</v>
      </c>
      <c r="B711" s="6">
        <v>45727</v>
      </c>
      <c r="C711" s="7" t="s">
        <v>922</v>
      </c>
      <c r="D711" s="7" t="s">
        <v>14</v>
      </c>
      <c r="E711" s="7" t="s">
        <v>136</v>
      </c>
      <c r="F711" s="7" t="s">
        <v>75</v>
      </c>
      <c r="G711" s="7">
        <v>3</v>
      </c>
      <c r="H711" s="8">
        <v>45.4</v>
      </c>
      <c r="I711" s="9">
        <v>0</v>
      </c>
      <c r="J711" s="8">
        <v>136.19999999999999</v>
      </c>
      <c r="K711" s="8">
        <v>21.73</v>
      </c>
      <c r="L711" s="10" t="s">
        <v>23</v>
      </c>
    </row>
    <row r="712" spans="1:12" x14ac:dyDescent="0.3">
      <c r="A712" s="5" t="s">
        <v>1315</v>
      </c>
      <c r="B712" s="6">
        <v>45763</v>
      </c>
      <c r="C712" s="7" t="s">
        <v>1316</v>
      </c>
      <c r="D712" s="7" t="s">
        <v>37</v>
      </c>
      <c r="E712" s="7" t="s">
        <v>314</v>
      </c>
      <c r="F712" s="7" t="s">
        <v>16</v>
      </c>
      <c r="G712" s="7">
        <v>1</v>
      </c>
      <c r="H712" s="8">
        <v>25.46</v>
      </c>
      <c r="I712" s="9">
        <v>20</v>
      </c>
      <c r="J712" s="8">
        <v>20.37</v>
      </c>
      <c r="K712" s="8">
        <v>4.1900000000000004</v>
      </c>
      <c r="L712" s="10" t="s">
        <v>17</v>
      </c>
    </row>
    <row r="713" spans="1:12" x14ac:dyDescent="0.3">
      <c r="A713" s="5" t="s">
        <v>1317</v>
      </c>
      <c r="B713" s="6">
        <v>45502</v>
      </c>
      <c r="C713" s="7" t="s">
        <v>1318</v>
      </c>
      <c r="D713" s="7" t="s">
        <v>20</v>
      </c>
      <c r="E713" s="7" t="s">
        <v>74</v>
      </c>
      <c r="F713" s="7" t="s">
        <v>75</v>
      </c>
      <c r="G713" s="7">
        <v>2</v>
      </c>
      <c r="H713" s="8">
        <v>37.979999999999997</v>
      </c>
      <c r="I713" s="9">
        <v>10</v>
      </c>
      <c r="J713" s="8">
        <v>68.36</v>
      </c>
      <c r="K713" s="8">
        <v>18.940000000000001</v>
      </c>
      <c r="L713" s="10" t="s">
        <v>17</v>
      </c>
    </row>
    <row r="714" spans="1:12" x14ac:dyDescent="0.3">
      <c r="A714" s="5" t="s">
        <v>1319</v>
      </c>
      <c r="B714" s="6">
        <v>45335</v>
      </c>
      <c r="C714" s="7" t="s">
        <v>1320</v>
      </c>
      <c r="D714" s="7" t="s">
        <v>42</v>
      </c>
      <c r="E714" s="7" t="s">
        <v>269</v>
      </c>
      <c r="F714" s="7" t="s">
        <v>75</v>
      </c>
      <c r="G714" s="7">
        <v>2</v>
      </c>
      <c r="H714" s="8">
        <v>19.77</v>
      </c>
      <c r="I714" s="9">
        <v>20</v>
      </c>
      <c r="J714" s="8">
        <v>31.63</v>
      </c>
      <c r="K714" s="8">
        <v>11.04</v>
      </c>
      <c r="L714" s="10" t="s">
        <v>34</v>
      </c>
    </row>
    <row r="715" spans="1:12" x14ac:dyDescent="0.3">
      <c r="A715" s="5" t="s">
        <v>1321</v>
      </c>
      <c r="B715" s="6">
        <v>45836</v>
      </c>
      <c r="C715" s="7" t="s">
        <v>71</v>
      </c>
      <c r="D715" s="7" t="s">
        <v>42</v>
      </c>
      <c r="E715" s="7" t="s">
        <v>74</v>
      </c>
      <c r="F715" s="7" t="s">
        <v>75</v>
      </c>
      <c r="G715" s="7">
        <v>1</v>
      </c>
      <c r="H715" s="8">
        <v>16.489999999999998</v>
      </c>
      <c r="I715" s="9">
        <v>0</v>
      </c>
      <c r="J715" s="8">
        <v>16.489999999999998</v>
      </c>
      <c r="K715" s="8">
        <v>2.65</v>
      </c>
      <c r="L715" s="10" t="s">
        <v>23</v>
      </c>
    </row>
    <row r="716" spans="1:12" x14ac:dyDescent="0.3">
      <c r="A716" s="5" t="s">
        <v>1322</v>
      </c>
      <c r="B716" s="6">
        <v>45820</v>
      </c>
      <c r="C716" s="7" t="s">
        <v>1323</v>
      </c>
      <c r="D716" s="7" t="s">
        <v>37</v>
      </c>
      <c r="E716" s="7" t="s">
        <v>15</v>
      </c>
      <c r="F716" s="7" t="s">
        <v>16</v>
      </c>
      <c r="G716" s="7">
        <v>2</v>
      </c>
      <c r="H716" s="8">
        <v>139.47</v>
      </c>
      <c r="I716" s="9">
        <v>15</v>
      </c>
      <c r="J716" s="8">
        <v>237.1</v>
      </c>
      <c r="K716" s="8">
        <v>19.77</v>
      </c>
      <c r="L716" s="10" t="s">
        <v>17</v>
      </c>
    </row>
    <row r="717" spans="1:12" x14ac:dyDescent="0.3">
      <c r="A717" s="5" t="s">
        <v>1324</v>
      </c>
      <c r="B717" s="6">
        <v>45475</v>
      </c>
      <c r="C717" s="7" t="s">
        <v>1325</v>
      </c>
      <c r="D717" s="7" t="s">
        <v>26</v>
      </c>
      <c r="E717" s="7" t="s">
        <v>253</v>
      </c>
      <c r="F717" s="7" t="s">
        <v>49</v>
      </c>
      <c r="G717" s="7">
        <v>3</v>
      </c>
      <c r="H717" s="8">
        <v>27.52</v>
      </c>
      <c r="I717" s="9">
        <v>10</v>
      </c>
      <c r="J717" s="8">
        <v>74.3</v>
      </c>
      <c r="K717" s="8">
        <v>26.25</v>
      </c>
      <c r="L717" s="10" t="s">
        <v>23</v>
      </c>
    </row>
    <row r="718" spans="1:12" x14ac:dyDescent="0.3">
      <c r="A718" s="5" t="s">
        <v>1326</v>
      </c>
      <c r="B718" s="6">
        <v>45509</v>
      </c>
      <c r="C718" s="7" t="s">
        <v>939</v>
      </c>
      <c r="D718" s="7" t="s">
        <v>14</v>
      </c>
      <c r="E718" s="7" t="s">
        <v>33</v>
      </c>
      <c r="F718" s="7" t="s">
        <v>16</v>
      </c>
      <c r="G718" s="7">
        <v>1</v>
      </c>
      <c r="H718" s="8">
        <v>77.989999999999995</v>
      </c>
      <c r="I718" s="9">
        <v>5</v>
      </c>
      <c r="J718" s="8">
        <v>74.09</v>
      </c>
      <c r="K718" s="8">
        <v>11.77</v>
      </c>
      <c r="L718" s="10" t="s">
        <v>17</v>
      </c>
    </row>
    <row r="719" spans="1:12" x14ac:dyDescent="0.3">
      <c r="A719" s="5" t="s">
        <v>1327</v>
      </c>
      <c r="B719" s="6">
        <v>45992</v>
      </c>
      <c r="C719" s="7" t="s">
        <v>318</v>
      </c>
      <c r="D719" s="7" t="s">
        <v>26</v>
      </c>
      <c r="E719" s="7" t="s">
        <v>83</v>
      </c>
      <c r="F719" s="7" t="s">
        <v>22</v>
      </c>
      <c r="G719" s="7">
        <v>3</v>
      </c>
      <c r="H719" s="8">
        <v>31.21</v>
      </c>
      <c r="I719" s="9">
        <v>10</v>
      </c>
      <c r="J719" s="8">
        <v>84.27</v>
      </c>
      <c r="K719" s="8">
        <v>54.37</v>
      </c>
      <c r="L719" s="10" t="s">
        <v>17</v>
      </c>
    </row>
    <row r="720" spans="1:12" x14ac:dyDescent="0.3">
      <c r="A720" s="5" t="s">
        <v>1328</v>
      </c>
      <c r="B720" s="6">
        <v>45945</v>
      </c>
      <c r="C720" s="7" t="s">
        <v>45</v>
      </c>
      <c r="D720" s="7" t="s">
        <v>26</v>
      </c>
      <c r="E720" s="7" t="s">
        <v>286</v>
      </c>
      <c r="F720" s="7" t="s">
        <v>39</v>
      </c>
      <c r="G720" s="7">
        <v>1</v>
      </c>
      <c r="H720" s="8">
        <v>22.22</v>
      </c>
      <c r="I720" s="9">
        <v>0</v>
      </c>
      <c r="J720" s="8">
        <v>22.22</v>
      </c>
      <c r="K720" s="8">
        <v>6.56</v>
      </c>
      <c r="L720" s="10" t="s">
        <v>23</v>
      </c>
    </row>
    <row r="721" spans="1:12" x14ac:dyDescent="0.3">
      <c r="A721" s="5" t="s">
        <v>1329</v>
      </c>
      <c r="B721" s="6">
        <v>45848</v>
      </c>
      <c r="C721" s="7" t="s">
        <v>702</v>
      </c>
      <c r="D721" s="7" t="s">
        <v>26</v>
      </c>
      <c r="E721" s="7" t="s">
        <v>88</v>
      </c>
      <c r="F721" s="7" t="s">
        <v>22</v>
      </c>
      <c r="G721" s="7">
        <v>4</v>
      </c>
      <c r="H721" s="8">
        <v>20.8</v>
      </c>
      <c r="I721" s="9">
        <v>25</v>
      </c>
      <c r="J721" s="8">
        <v>62.4</v>
      </c>
      <c r="K721" s="8">
        <v>40.25</v>
      </c>
      <c r="L721" s="10" t="s">
        <v>23</v>
      </c>
    </row>
    <row r="722" spans="1:12" x14ac:dyDescent="0.3">
      <c r="A722" s="5" t="s">
        <v>1330</v>
      </c>
      <c r="B722" s="6">
        <v>45560</v>
      </c>
      <c r="C722" s="7" t="s">
        <v>1331</v>
      </c>
      <c r="D722" s="7" t="s">
        <v>42</v>
      </c>
      <c r="E722" s="7" t="s">
        <v>154</v>
      </c>
      <c r="F722" s="7" t="s">
        <v>39</v>
      </c>
      <c r="G722" s="7">
        <v>2</v>
      </c>
      <c r="H722" s="8">
        <v>54.21</v>
      </c>
      <c r="I722" s="9">
        <v>0</v>
      </c>
      <c r="J722" s="8">
        <v>108.42</v>
      </c>
      <c r="K722" s="8">
        <v>23.11</v>
      </c>
      <c r="L722" s="10" t="s">
        <v>23</v>
      </c>
    </row>
    <row r="723" spans="1:12" x14ac:dyDescent="0.3">
      <c r="A723" s="5" t="s">
        <v>1332</v>
      </c>
      <c r="B723" s="6">
        <v>45455</v>
      </c>
      <c r="C723" s="7" t="s">
        <v>1248</v>
      </c>
      <c r="D723" s="7" t="s">
        <v>42</v>
      </c>
      <c r="E723" s="7" t="s">
        <v>269</v>
      </c>
      <c r="F723" s="7" t="s">
        <v>75</v>
      </c>
      <c r="G723" s="7">
        <v>3</v>
      </c>
      <c r="H723" s="8">
        <v>25.66</v>
      </c>
      <c r="I723" s="9">
        <v>10</v>
      </c>
      <c r="J723" s="8">
        <v>69.28</v>
      </c>
      <c r="K723" s="8">
        <v>16.63</v>
      </c>
      <c r="L723" s="10" t="s">
        <v>17</v>
      </c>
    </row>
    <row r="724" spans="1:12" x14ac:dyDescent="0.3">
      <c r="A724" s="5" t="s">
        <v>1333</v>
      </c>
      <c r="B724" s="6">
        <v>45498</v>
      </c>
      <c r="C724" s="7" t="s">
        <v>655</v>
      </c>
      <c r="D724" s="7" t="s">
        <v>37</v>
      </c>
      <c r="E724" s="7" t="s">
        <v>74</v>
      </c>
      <c r="F724" s="7" t="s">
        <v>75</v>
      </c>
      <c r="G724" s="7">
        <v>1</v>
      </c>
      <c r="H724" s="8">
        <v>52.15</v>
      </c>
      <c r="I724" s="9">
        <v>10</v>
      </c>
      <c r="J724" s="8">
        <v>46.94</v>
      </c>
      <c r="K724" s="8">
        <v>9.1300000000000008</v>
      </c>
      <c r="L724" s="10" t="s">
        <v>23</v>
      </c>
    </row>
    <row r="725" spans="1:12" x14ac:dyDescent="0.3">
      <c r="A725" s="5" t="s">
        <v>1334</v>
      </c>
      <c r="B725" s="6">
        <v>45298</v>
      </c>
      <c r="C725" s="7" t="s">
        <v>1335</v>
      </c>
      <c r="D725" s="7" t="s">
        <v>37</v>
      </c>
      <c r="E725" s="7" t="s">
        <v>27</v>
      </c>
      <c r="F725" s="7" t="s">
        <v>22</v>
      </c>
      <c r="G725" s="7">
        <v>3</v>
      </c>
      <c r="H725" s="8">
        <v>35.71</v>
      </c>
      <c r="I725" s="9">
        <v>0</v>
      </c>
      <c r="J725" s="8">
        <v>107.13</v>
      </c>
      <c r="K725" s="8">
        <v>47.51</v>
      </c>
      <c r="L725" s="10" t="s">
        <v>17</v>
      </c>
    </row>
    <row r="726" spans="1:12" x14ac:dyDescent="0.3">
      <c r="A726" s="5" t="s">
        <v>1336</v>
      </c>
      <c r="B726" s="6">
        <v>45384</v>
      </c>
      <c r="C726" s="7" t="s">
        <v>1337</v>
      </c>
      <c r="D726" s="7" t="s">
        <v>37</v>
      </c>
      <c r="E726" s="7" t="s">
        <v>48</v>
      </c>
      <c r="F726" s="7" t="s">
        <v>49</v>
      </c>
      <c r="G726" s="7">
        <v>4</v>
      </c>
      <c r="H726" s="8">
        <v>33.92</v>
      </c>
      <c r="I726" s="9">
        <v>20</v>
      </c>
      <c r="J726" s="8">
        <v>108.54</v>
      </c>
      <c r="K726" s="8">
        <v>35.409999999999997</v>
      </c>
      <c r="L726" s="10" t="s">
        <v>23</v>
      </c>
    </row>
    <row r="727" spans="1:12" x14ac:dyDescent="0.3">
      <c r="A727" s="5" t="s">
        <v>1338</v>
      </c>
      <c r="B727" s="6">
        <v>45470</v>
      </c>
      <c r="C727" s="7" t="s">
        <v>1339</v>
      </c>
      <c r="D727" s="7" t="s">
        <v>20</v>
      </c>
      <c r="E727" s="7" t="s">
        <v>232</v>
      </c>
      <c r="F727" s="7" t="s">
        <v>22</v>
      </c>
      <c r="G727" s="7">
        <v>2</v>
      </c>
      <c r="H727" s="8">
        <v>23.05</v>
      </c>
      <c r="I727" s="9">
        <v>0</v>
      </c>
      <c r="J727" s="8">
        <v>46.1</v>
      </c>
      <c r="K727" s="8">
        <v>19.670000000000002</v>
      </c>
      <c r="L727" s="10" t="s">
        <v>34</v>
      </c>
    </row>
    <row r="728" spans="1:12" x14ac:dyDescent="0.3">
      <c r="A728" s="5" t="s">
        <v>1340</v>
      </c>
      <c r="B728" s="6">
        <v>45698</v>
      </c>
      <c r="C728" s="7" t="s">
        <v>922</v>
      </c>
      <c r="D728" s="7" t="s">
        <v>37</v>
      </c>
      <c r="E728" s="7" t="s">
        <v>187</v>
      </c>
      <c r="F728" s="7" t="s">
        <v>75</v>
      </c>
      <c r="G728" s="7">
        <v>2</v>
      </c>
      <c r="H728" s="8">
        <v>34.270000000000003</v>
      </c>
      <c r="I728" s="9">
        <v>0</v>
      </c>
      <c r="J728" s="8">
        <v>68.540000000000006</v>
      </c>
      <c r="K728" s="8">
        <v>18.239999999999998</v>
      </c>
      <c r="L728" s="10" t="s">
        <v>34</v>
      </c>
    </row>
    <row r="729" spans="1:12" x14ac:dyDescent="0.3">
      <c r="A729" s="5" t="s">
        <v>1341</v>
      </c>
      <c r="B729" s="6">
        <v>45667</v>
      </c>
      <c r="C729" s="7" t="s">
        <v>713</v>
      </c>
      <c r="D729" s="7" t="s">
        <v>42</v>
      </c>
      <c r="E729" s="7" t="s">
        <v>88</v>
      </c>
      <c r="F729" s="7" t="s">
        <v>22</v>
      </c>
      <c r="G729" s="7">
        <v>3</v>
      </c>
      <c r="H729" s="8">
        <v>35.17</v>
      </c>
      <c r="I729" s="9">
        <v>0</v>
      </c>
      <c r="J729" s="8">
        <v>105.51</v>
      </c>
      <c r="K729" s="8">
        <v>67.72</v>
      </c>
      <c r="L729" s="10" t="s">
        <v>17</v>
      </c>
    </row>
    <row r="730" spans="1:12" x14ac:dyDescent="0.3">
      <c r="A730" s="5" t="s">
        <v>1342</v>
      </c>
      <c r="B730" s="6">
        <v>45618</v>
      </c>
      <c r="C730" s="7" t="s">
        <v>469</v>
      </c>
      <c r="D730" s="7" t="s">
        <v>42</v>
      </c>
      <c r="E730" s="7" t="s">
        <v>177</v>
      </c>
      <c r="F730" s="7" t="s">
        <v>49</v>
      </c>
      <c r="G730" s="7">
        <v>1</v>
      </c>
      <c r="H730" s="8">
        <v>16.13</v>
      </c>
      <c r="I730" s="9">
        <v>0</v>
      </c>
      <c r="J730" s="8">
        <v>16.13</v>
      </c>
      <c r="K730" s="8">
        <v>7.14</v>
      </c>
      <c r="L730" s="10" t="s">
        <v>17</v>
      </c>
    </row>
    <row r="731" spans="1:12" x14ac:dyDescent="0.3">
      <c r="A731" s="5" t="s">
        <v>1343</v>
      </c>
      <c r="B731" s="6">
        <v>45380</v>
      </c>
      <c r="C731" s="7" t="s">
        <v>1344</v>
      </c>
      <c r="D731" s="7" t="s">
        <v>14</v>
      </c>
      <c r="E731" s="7" t="s">
        <v>246</v>
      </c>
      <c r="F731" s="7" t="s">
        <v>75</v>
      </c>
      <c r="G731" s="7">
        <v>3</v>
      </c>
      <c r="H731" s="8">
        <v>9.4</v>
      </c>
      <c r="I731" s="9">
        <v>5</v>
      </c>
      <c r="J731" s="8">
        <v>26.79</v>
      </c>
      <c r="K731" s="8">
        <v>6.93</v>
      </c>
      <c r="L731" s="10" t="s">
        <v>17</v>
      </c>
    </row>
    <row r="732" spans="1:12" x14ac:dyDescent="0.3">
      <c r="A732" s="5" t="s">
        <v>1345</v>
      </c>
      <c r="B732" s="6">
        <v>45527</v>
      </c>
      <c r="C732" s="7" t="s">
        <v>1346</v>
      </c>
      <c r="D732" s="7" t="s">
        <v>42</v>
      </c>
      <c r="E732" s="7" t="s">
        <v>291</v>
      </c>
      <c r="F732" s="7" t="s">
        <v>22</v>
      </c>
      <c r="G732" s="7">
        <v>1</v>
      </c>
      <c r="H732" s="8">
        <v>48.1</v>
      </c>
      <c r="I732" s="9">
        <v>10</v>
      </c>
      <c r="J732" s="8">
        <v>43.29</v>
      </c>
      <c r="K732" s="8">
        <v>26.92</v>
      </c>
      <c r="L732" s="10" t="s">
        <v>17</v>
      </c>
    </row>
    <row r="733" spans="1:12" x14ac:dyDescent="0.3">
      <c r="A733" s="5" t="s">
        <v>1347</v>
      </c>
      <c r="B733" s="6">
        <v>45612</v>
      </c>
      <c r="C733" s="7" t="s">
        <v>734</v>
      </c>
      <c r="D733" s="7" t="s">
        <v>20</v>
      </c>
      <c r="E733" s="7" t="s">
        <v>214</v>
      </c>
      <c r="F733" s="7" t="s">
        <v>49</v>
      </c>
      <c r="G733" s="7">
        <v>3</v>
      </c>
      <c r="H733" s="8">
        <v>25.64</v>
      </c>
      <c r="I733" s="9">
        <v>10</v>
      </c>
      <c r="J733" s="8">
        <v>69.23</v>
      </c>
      <c r="K733" s="8">
        <v>27.38</v>
      </c>
      <c r="L733" s="10" t="s">
        <v>17</v>
      </c>
    </row>
    <row r="734" spans="1:12" x14ac:dyDescent="0.3">
      <c r="A734" s="5" t="s">
        <v>1348</v>
      </c>
      <c r="B734" s="6">
        <v>45680</v>
      </c>
      <c r="C734" s="7" t="s">
        <v>1349</v>
      </c>
      <c r="D734" s="7" t="s">
        <v>42</v>
      </c>
      <c r="E734" s="7" t="s">
        <v>291</v>
      </c>
      <c r="F734" s="7" t="s">
        <v>22</v>
      </c>
      <c r="G734" s="7">
        <v>3</v>
      </c>
      <c r="H734" s="8">
        <v>38.630000000000003</v>
      </c>
      <c r="I734" s="9">
        <v>25</v>
      </c>
      <c r="J734" s="8">
        <v>86.92</v>
      </c>
      <c r="K734" s="8">
        <v>40.79</v>
      </c>
      <c r="L734" s="10" t="s">
        <v>23</v>
      </c>
    </row>
    <row r="735" spans="1:12" x14ac:dyDescent="0.3">
      <c r="A735" s="5" t="s">
        <v>1350</v>
      </c>
      <c r="B735" s="6">
        <v>45616</v>
      </c>
      <c r="C735" s="7" t="s">
        <v>402</v>
      </c>
      <c r="D735" s="7" t="s">
        <v>20</v>
      </c>
      <c r="E735" s="7" t="s">
        <v>111</v>
      </c>
      <c r="F735" s="7" t="s">
        <v>49</v>
      </c>
      <c r="G735" s="7">
        <v>2</v>
      </c>
      <c r="H735" s="8">
        <v>64.239999999999995</v>
      </c>
      <c r="I735" s="9">
        <v>0</v>
      </c>
      <c r="J735" s="8">
        <v>128.47999999999999</v>
      </c>
      <c r="K735" s="8">
        <v>61.89</v>
      </c>
      <c r="L735" s="10" t="s">
        <v>17</v>
      </c>
    </row>
    <row r="736" spans="1:12" x14ac:dyDescent="0.3">
      <c r="A736" s="5" t="s">
        <v>1351</v>
      </c>
      <c r="B736" s="6">
        <v>45319</v>
      </c>
      <c r="C736" s="7" t="s">
        <v>1352</v>
      </c>
      <c r="D736" s="7" t="s">
        <v>37</v>
      </c>
      <c r="E736" s="7" t="s">
        <v>502</v>
      </c>
      <c r="F736" s="7" t="s">
        <v>22</v>
      </c>
      <c r="G736" s="7">
        <v>2</v>
      </c>
      <c r="H736" s="8">
        <v>39.51</v>
      </c>
      <c r="I736" s="9">
        <v>25</v>
      </c>
      <c r="J736" s="8">
        <v>59.27</v>
      </c>
      <c r="K736" s="8">
        <v>32.22</v>
      </c>
      <c r="L736" s="10" t="s">
        <v>17</v>
      </c>
    </row>
    <row r="737" spans="1:12" x14ac:dyDescent="0.3">
      <c r="A737" s="5" t="s">
        <v>1353</v>
      </c>
      <c r="B737" s="6">
        <v>45402</v>
      </c>
      <c r="C737" s="7" t="s">
        <v>647</v>
      </c>
      <c r="D737" s="7" t="s">
        <v>42</v>
      </c>
      <c r="E737" s="7" t="s">
        <v>55</v>
      </c>
      <c r="F737" s="7" t="s">
        <v>16</v>
      </c>
      <c r="G737" s="7">
        <v>1</v>
      </c>
      <c r="H737" s="8">
        <v>147.55000000000001</v>
      </c>
      <c r="I737" s="9">
        <v>0</v>
      </c>
      <c r="J737" s="8">
        <v>147.55000000000001</v>
      </c>
      <c r="K737" s="8">
        <v>18.77</v>
      </c>
      <c r="L737" s="10" t="s">
        <v>17</v>
      </c>
    </row>
    <row r="738" spans="1:12" x14ac:dyDescent="0.3">
      <c r="A738" s="5" t="s">
        <v>1354</v>
      </c>
      <c r="B738" s="6">
        <v>45772</v>
      </c>
      <c r="C738" s="7" t="s">
        <v>506</v>
      </c>
      <c r="D738" s="7" t="s">
        <v>20</v>
      </c>
      <c r="E738" s="7" t="s">
        <v>141</v>
      </c>
      <c r="F738" s="7" t="s">
        <v>16</v>
      </c>
      <c r="G738" s="7">
        <v>1</v>
      </c>
      <c r="H738" s="8">
        <v>29.41</v>
      </c>
      <c r="I738" s="9">
        <v>5</v>
      </c>
      <c r="J738" s="8">
        <v>27.94</v>
      </c>
      <c r="K738" s="8">
        <v>4.01</v>
      </c>
      <c r="L738" s="10" t="s">
        <v>23</v>
      </c>
    </row>
    <row r="739" spans="1:12" x14ac:dyDescent="0.3">
      <c r="A739" s="5" t="s">
        <v>1355</v>
      </c>
      <c r="B739" s="6">
        <v>45990</v>
      </c>
      <c r="C739" s="7" t="s">
        <v>1356</v>
      </c>
      <c r="D739" s="7" t="s">
        <v>26</v>
      </c>
      <c r="E739" s="7" t="s">
        <v>48</v>
      </c>
      <c r="F739" s="7" t="s">
        <v>49</v>
      </c>
      <c r="G739" s="7">
        <v>1</v>
      </c>
      <c r="H739" s="8">
        <v>58.74</v>
      </c>
      <c r="I739" s="9">
        <v>0</v>
      </c>
      <c r="J739" s="8">
        <v>58.74</v>
      </c>
      <c r="K739" s="8">
        <v>21.93</v>
      </c>
      <c r="L739" s="10" t="s">
        <v>23</v>
      </c>
    </row>
    <row r="740" spans="1:12" x14ac:dyDescent="0.3">
      <c r="A740" s="5" t="s">
        <v>1357</v>
      </c>
      <c r="B740" s="6">
        <v>45957</v>
      </c>
      <c r="C740" s="7" t="s">
        <v>1358</v>
      </c>
      <c r="D740" s="7" t="s">
        <v>26</v>
      </c>
      <c r="E740" s="7" t="s">
        <v>222</v>
      </c>
      <c r="F740" s="7" t="s">
        <v>22</v>
      </c>
      <c r="G740" s="7">
        <v>3</v>
      </c>
      <c r="H740" s="8">
        <v>43.87</v>
      </c>
      <c r="I740" s="9">
        <v>10</v>
      </c>
      <c r="J740" s="8">
        <v>118.45</v>
      </c>
      <c r="K740" s="8">
        <v>60.11</v>
      </c>
      <c r="L740" s="10" t="s">
        <v>23</v>
      </c>
    </row>
    <row r="741" spans="1:12" x14ac:dyDescent="0.3">
      <c r="A741" s="5" t="s">
        <v>1359</v>
      </c>
      <c r="B741" s="6">
        <v>45960</v>
      </c>
      <c r="C741" s="7" t="s">
        <v>1360</v>
      </c>
      <c r="D741" s="7" t="s">
        <v>26</v>
      </c>
      <c r="E741" s="7" t="s">
        <v>246</v>
      </c>
      <c r="F741" s="7" t="s">
        <v>75</v>
      </c>
      <c r="G741" s="7">
        <v>1</v>
      </c>
      <c r="H741" s="8">
        <v>32.68</v>
      </c>
      <c r="I741" s="9">
        <v>5</v>
      </c>
      <c r="J741" s="8">
        <v>31.05</v>
      </c>
      <c r="K741" s="8">
        <v>10.39</v>
      </c>
      <c r="L741" s="10" t="s">
        <v>17</v>
      </c>
    </row>
    <row r="742" spans="1:12" x14ac:dyDescent="0.3">
      <c r="A742" s="5" t="s">
        <v>1361</v>
      </c>
      <c r="B742" s="6">
        <v>45345</v>
      </c>
      <c r="C742" s="7" t="s">
        <v>1362</v>
      </c>
      <c r="D742" s="7" t="s">
        <v>37</v>
      </c>
      <c r="E742" s="7" t="s">
        <v>105</v>
      </c>
      <c r="F742" s="7" t="s">
        <v>39</v>
      </c>
      <c r="G742" s="7">
        <v>3</v>
      </c>
      <c r="H742" s="8">
        <v>33.130000000000003</v>
      </c>
      <c r="I742" s="9">
        <v>0</v>
      </c>
      <c r="J742" s="8">
        <v>99.39</v>
      </c>
      <c r="K742" s="8">
        <v>34.97</v>
      </c>
      <c r="L742" s="10" t="s">
        <v>17</v>
      </c>
    </row>
    <row r="743" spans="1:12" x14ac:dyDescent="0.3">
      <c r="A743" s="5" t="s">
        <v>1363</v>
      </c>
      <c r="B743" s="6">
        <v>45486</v>
      </c>
      <c r="C743" s="7" t="s">
        <v>1364</v>
      </c>
      <c r="D743" s="7" t="s">
        <v>14</v>
      </c>
      <c r="E743" s="7" t="s">
        <v>133</v>
      </c>
      <c r="F743" s="7" t="s">
        <v>75</v>
      </c>
      <c r="G743" s="7">
        <v>2</v>
      </c>
      <c r="H743" s="8">
        <v>25.2</v>
      </c>
      <c r="I743" s="9">
        <v>10</v>
      </c>
      <c r="J743" s="8">
        <v>45.36</v>
      </c>
      <c r="K743" s="8">
        <v>8.7200000000000006</v>
      </c>
      <c r="L743" s="10" t="s">
        <v>17</v>
      </c>
    </row>
    <row r="744" spans="1:12" x14ac:dyDescent="0.3">
      <c r="A744" s="5" t="s">
        <v>1365</v>
      </c>
      <c r="B744" s="6">
        <v>45487</v>
      </c>
      <c r="C744" s="7" t="s">
        <v>911</v>
      </c>
      <c r="D744" s="7" t="s">
        <v>37</v>
      </c>
      <c r="E744" s="7" t="s">
        <v>91</v>
      </c>
      <c r="F744" s="7" t="s">
        <v>49</v>
      </c>
      <c r="G744" s="7">
        <v>1</v>
      </c>
      <c r="H744" s="8">
        <v>28.41</v>
      </c>
      <c r="I744" s="9">
        <v>0</v>
      </c>
      <c r="J744" s="8">
        <v>28.41</v>
      </c>
      <c r="K744" s="8">
        <v>8.9499999999999993</v>
      </c>
      <c r="L744" s="10" t="s">
        <v>17</v>
      </c>
    </row>
    <row r="745" spans="1:12" x14ac:dyDescent="0.3">
      <c r="A745" s="5" t="s">
        <v>1366</v>
      </c>
      <c r="B745" s="6">
        <v>45971</v>
      </c>
      <c r="C745" s="7" t="s">
        <v>1158</v>
      </c>
      <c r="D745" s="7" t="s">
        <v>37</v>
      </c>
      <c r="E745" s="7" t="s">
        <v>314</v>
      </c>
      <c r="F745" s="7" t="s">
        <v>16</v>
      </c>
      <c r="G745" s="7">
        <v>4</v>
      </c>
      <c r="H745" s="8">
        <v>97.9</v>
      </c>
      <c r="I745" s="9">
        <v>15</v>
      </c>
      <c r="J745" s="8">
        <v>332.86</v>
      </c>
      <c r="K745" s="8">
        <v>62.16</v>
      </c>
      <c r="L745" s="10" t="s">
        <v>17</v>
      </c>
    </row>
    <row r="746" spans="1:12" x14ac:dyDescent="0.3">
      <c r="A746" s="5" t="s">
        <v>1367</v>
      </c>
      <c r="B746" s="6">
        <v>45322</v>
      </c>
      <c r="C746" s="7" t="s">
        <v>645</v>
      </c>
      <c r="D746" s="7" t="s">
        <v>14</v>
      </c>
      <c r="E746" s="7" t="s">
        <v>286</v>
      </c>
      <c r="F746" s="7" t="s">
        <v>39</v>
      </c>
      <c r="G746" s="7">
        <v>3</v>
      </c>
      <c r="H746" s="8">
        <v>62.62</v>
      </c>
      <c r="I746" s="9">
        <v>10</v>
      </c>
      <c r="J746" s="8">
        <v>169.07</v>
      </c>
      <c r="K746" s="8">
        <v>38.1</v>
      </c>
      <c r="L746" s="10" t="s">
        <v>17</v>
      </c>
    </row>
    <row r="747" spans="1:12" x14ac:dyDescent="0.3">
      <c r="A747" s="5" t="s">
        <v>1368</v>
      </c>
      <c r="B747" s="6">
        <v>45350</v>
      </c>
      <c r="C747" s="7" t="s">
        <v>1323</v>
      </c>
      <c r="D747" s="7" t="s">
        <v>37</v>
      </c>
      <c r="E747" s="7" t="s">
        <v>15</v>
      </c>
      <c r="F747" s="7" t="s">
        <v>16</v>
      </c>
      <c r="G747" s="7">
        <v>2</v>
      </c>
      <c r="H747" s="8">
        <v>128.4</v>
      </c>
      <c r="I747" s="9">
        <v>10</v>
      </c>
      <c r="J747" s="8">
        <v>231.12</v>
      </c>
      <c r="K747" s="8">
        <v>20.18</v>
      </c>
      <c r="L747" s="10" t="s">
        <v>17</v>
      </c>
    </row>
    <row r="748" spans="1:12" x14ac:dyDescent="0.3">
      <c r="A748" s="5" t="s">
        <v>1369</v>
      </c>
      <c r="B748" s="6">
        <v>45401</v>
      </c>
      <c r="C748" s="7" t="s">
        <v>1370</v>
      </c>
      <c r="D748" s="7" t="s">
        <v>42</v>
      </c>
      <c r="E748" s="7" t="s">
        <v>64</v>
      </c>
      <c r="F748" s="7" t="s">
        <v>16</v>
      </c>
      <c r="G748" s="7">
        <v>3</v>
      </c>
      <c r="H748" s="8">
        <v>90.84</v>
      </c>
      <c r="I748" s="9">
        <v>0</v>
      </c>
      <c r="J748" s="8">
        <v>272.52</v>
      </c>
      <c r="K748" s="8">
        <v>58.75</v>
      </c>
      <c r="L748" s="10" t="s">
        <v>17</v>
      </c>
    </row>
    <row r="749" spans="1:12" x14ac:dyDescent="0.3">
      <c r="A749" s="5" t="s">
        <v>1371</v>
      </c>
      <c r="B749" s="6">
        <v>45930</v>
      </c>
      <c r="C749" s="7" t="s">
        <v>1372</v>
      </c>
      <c r="D749" s="7" t="s">
        <v>37</v>
      </c>
      <c r="E749" s="7" t="s">
        <v>232</v>
      </c>
      <c r="F749" s="7" t="s">
        <v>22</v>
      </c>
      <c r="G749" s="7">
        <v>3</v>
      </c>
      <c r="H749" s="8">
        <v>10.01</v>
      </c>
      <c r="I749" s="9">
        <v>0</v>
      </c>
      <c r="J749" s="8">
        <v>30.03</v>
      </c>
      <c r="K749" s="8">
        <v>12.46</v>
      </c>
      <c r="L749" s="10" t="s">
        <v>17</v>
      </c>
    </row>
    <row r="750" spans="1:12" x14ac:dyDescent="0.3">
      <c r="A750" s="5" t="s">
        <v>1373</v>
      </c>
      <c r="B750" s="6">
        <v>45879</v>
      </c>
      <c r="C750" s="7" t="s">
        <v>861</v>
      </c>
      <c r="D750" s="7" t="s">
        <v>42</v>
      </c>
      <c r="E750" s="7" t="s">
        <v>33</v>
      </c>
      <c r="F750" s="7" t="s">
        <v>16</v>
      </c>
      <c r="G750" s="7">
        <v>1</v>
      </c>
      <c r="H750" s="8">
        <v>88.23</v>
      </c>
      <c r="I750" s="9">
        <v>10</v>
      </c>
      <c r="J750" s="8">
        <v>79.41</v>
      </c>
      <c r="K750" s="8">
        <v>14.49</v>
      </c>
      <c r="L750" s="10" t="s">
        <v>23</v>
      </c>
    </row>
    <row r="751" spans="1:12" x14ac:dyDescent="0.3">
      <c r="A751" s="5" t="s">
        <v>1374</v>
      </c>
      <c r="B751" s="6">
        <v>45298</v>
      </c>
      <c r="C751" s="7" t="s">
        <v>1375</v>
      </c>
      <c r="D751" s="7" t="s">
        <v>42</v>
      </c>
      <c r="E751" s="7" t="s">
        <v>111</v>
      </c>
      <c r="F751" s="7" t="s">
        <v>49</v>
      </c>
      <c r="G751" s="7">
        <v>3</v>
      </c>
      <c r="H751" s="8">
        <v>40.79</v>
      </c>
      <c r="I751" s="9">
        <v>0</v>
      </c>
      <c r="J751" s="8">
        <v>122.37</v>
      </c>
      <c r="K751" s="8">
        <v>39.15</v>
      </c>
      <c r="L751" s="10" t="s">
        <v>17</v>
      </c>
    </row>
    <row r="752" spans="1:12" x14ac:dyDescent="0.3">
      <c r="A752" s="5" t="s">
        <v>1376</v>
      </c>
      <c r="B752" s="6">
        <v>45747</v>
      </c>
      <c r="C752" s="7" t="s">
        <v>1377</v>
      </c>
      <c r="D752" s="7" t="s">
        <v>20</v>
      </c>
      <c r="E752" s="7" t="s">
        <v>136</v>
      </c>
      <c r="F752" s="7" t="s">
        <v>75</v>
      </c>
      <c r="G752" s="7">
        <v>2</v>
      </c>
      <c r="H752" s="8">
        <v>29.64</v>
      </c>
      <c r="I752" s="9">
        <v>10</v>
      </c>
      <c r="J752" s="8">
        <v>53.35</v>
      </c>
      <c r="K752" s="8">
        <v>12.22</v>
      </c>
      <c r="L752" s="10" t="s">
        <v>17</v>
      </c>
    </row>
    <row r="753" spans="1:12" x14ac:dyDescent="0.3">
      <c r="A753" s="5" t="s">
        <v>1378</v>
      </c>
      <c r="B753" s="6">
        <v>45954</v>
      </c>
      <c r="C753" s="7" t="s">
        <v>1379</v>
      </c>
      <c r="D753" s="7" t="s">
        <v>37</v>
      </c>
      <c r="E753" s="7" t="s">
        <v>21</v>
      </c>
      <c r="F753" s="7" t="s">
        <v>22</v>
      </c>
      <c r="G753" s="7">
        <v>2</v>
      </c>
      <c r="H753" s="8">
        <v>27.71</v>
      </c>
      <c r="I753" s="9">
        <v>0</v>
      </c>
      <c r="J753" s="8">
        <v>55.42</v>
      </c>
      <c r="K753" s="8">
        <v>29.08</v>
      </c>
      <c r="L753" s="10" t="s">
        <v>23</v>
      </c>
    </row>
    <row r="754" spans="1:12" x14ac:dyDescent="0.3">
      <c r="A754" s="5" t="s">
        <v>1380</v>
      </c>
      <c r="B754" s="6">
        <v>45668</v>
      </c>
      <c r="C754" s="7" t="s">
        <v>754</v>
      </c>
      <c r="D754" s="7" t="s">
        <v>26</v>
      </c>
      <c r="E754" s="7" t="s">
        <v>184</v>
      </c>
      <c r="F754" s="7" t="s">
        <v>49</v>
      </c>
      <c r="G754" s="7">
        <v>2</v>
      </c>
      <c r="H754" s="8">
        <v>57.71</v>
      </c>
      <c r="I754" s="9">
        <v>15</v>
      </c>
      <c r="J754" s="8">
        <v>98.11</v>
      </c>
      <c r="K754" s="8">
        <v>32.96</v>
      </c>
      <c r="L754" s="10" t="s">
        <v>17</v>
      </c>
    </row>
    <row r="755" spans="1:12" x14ac:dyDescent="0.3">
      <c r="A755" s="5" t="s">
        <v>1381</v>
      </c>
      <c r="B755" s="6">
        <v>45632</v>
      </c>
      <c r="C755" s="7" t="s">
        <v>226</v>
      </c>
      <c r="D755" s="7" t="s">
        <v>20</v>
      </c>
      <c r="E755" s="7" t="s">
        <v>154</v>
      </c>
      <c r="F755" s="7" t="s">
        <v>39</v>
      </c>
      <c r="G755" s="7">
        <v>1</v>
      </c>
      <c r="H755" s="8">
        <v>38.43</v>
      </c>
      <c r="I755" s="9">
        <v>0</v>
      </c>
      <c r="J755" s="8">
        <v>38.43</v>
      </c>
      <c r="K755" s="8">
        <v>10.72</v>
      </c>
      <c r="L755" s="10" t="s">
        <v>17</v>
      </c>
    </row>
    <row r="756" spans="1:12" x14ac:dyDescent="0.3">
      <c r="A756" s="5" t="s">
        <v>1382</v>
      </c>
      <c r="B756" s="6">
        <v>45338</v>
      </c>
      <c r="C756" s="7" t="s">
        <v>833</v>
      </c>
      <c r="D756" s="7" t="s">
        <v>20</v>
      </c>
      <c r="E756" s="7" t="s">
        <v>69</v>
      </c>
      <c r="F756" s="7" t="s">
        <v>39</v>
      </c>
      <c r="G756" s="7">
        <v>3</v>
      </c>
      <c r="H756" s="8">
        <v>43.5</v>
      </c>
      <c r="I756" s="9">
        <v>5</v>
      </c>
      <c r="J756" s="8">
        <v>123.98</v>
      </c>
      <c r="K756" s="8">
        <v>41.34</v>
      </c>
      <c r="L756" s="10" t="s">
        <v>17</v>
      </c>
    </row>
    <row r="757" spans="1:12" x14ac:dyDescent="0.3">
      <c r="A757" s="5" t="s">
        <v>1383</v>
      </c>
      <c r="B757" s="6">
        <v>45679</v>
      </c>
      <c r="C757" s="7" t="s">
        <v>626</v>
      </c>
      <c r="D757" s="7" t="s">
        <v>20</v>
      </c>
      <c r="E757" s="7" t="s">
        <v>291</v>
      </c>
      <c r="F757" s="7" t="s">
        <v>22</v>
      </c>
      <c r="G757" s="7">
        <v>3</v>
      </c>
      <c r="H757" s="8">
        <v>39</v>
      </c>
      <c r="I757" s="9">
        <v>10</v>
      </c>
      <c r="J757" s="8">
        <v>105.3</v>
      </c>
      <c r="K757" s="8">
        <v>43.2</v>
      </c>
      <c r="L757" s="10" t="s">
        <v>23</v>
      </c>
    </row>
    <row r="758" spans="1:12" x14ac:dyDescent="0.3">
      <c r="A758" s="5" t="s">
        <v>1384</v>
      </c>
      <c r="B758" s="6">
        <v>45954</v>
      </c>
      <c r="C758" s="7" t="s">
        <v>1243</v>
      </c>
      <c r="D758" s="7" t="s">
        <v>37</v>
      </c>
      <c r="E758" s="7" t="s">
        <v>246</v>
      </c>
      <c r="F758" s="7" t="s">
        <v>75</v>
      </c>
      <c r="G758" s="7">
        <v>4</v>
      </c>
      <c r="H758" s="8">
        <v>56.3</v>
      </c>
      <c r="I758" s="9">
        <v>10</v>
      </c>
      <c r="J758" s="8">
        <v>202.68</v>
      </c>
      <c r="K758" s="8">
        <v>70.650000000000006</v>
      </c>
      <c r="L758" s="10" t="s">
        <v>34</v>
      </c>
    </row>
    <row r="759" spans="1:12" x14ac:dyDescent="0.3">
      <c r="A759" s="5" t="s">
        <v>1385</v>
      </c>
      <c r="B759" s="6">
        <v>45427</v>
      </c>
      <c r="C759" s="7" t="s">
        <v>1386</v>
      </c>
      <c r="D759" s="7" t="s">
        <v>20</v>
      </c>
      <c r="E759" s="7" t="s">
        <v>83</v>
      </c>
      <c r="F759" s="7" t="s">
        <v>22</v>
      </c>
      <c r="G759" s="7">
        <v>2</v>
      </c>
      <c r="H759" s="8">
        <v>48.44</v>
      </c>
      <c r="I759" s="9">
        <v>0</v>
      </c>
      <c r="J759" s="8">
        <v>96.88</v>
      </c>
      <c r="K759" s="8">
        <v>55.7</v>
      </c>
      <c r="L759" s="10" t="s">
        <v>17</v>
      </c>
    </row>
    <row r="760" spans="1:12" x14ac:dyDescent="0.3">
      <c r="A760" s="5" t="s">
        <v>1387</v>
      </c>
      <c r="B760" s="6">
        <v>45916</v>
      </c>
      <c r="C760" s="7" t="s">
        <v>1388</v>
      </c>
      <c r="D760" s="7" t="s">
        <v>26</v>
      </c>
      <c r="E760" s="7" t="s">
        <v>246</v>
      </c>
      <c r="F760" s="7" t="s">
        <v>75</v>
      </c>
      <c r="G760" s="7">
        <v>4</v>
      </c>
      <c r="H760" s="8">
        <v>35.04</v>
      </c>
      <c r="I760" s="9">
        <v>0</v>
      </c>
      <c r="J760" s="8">
        <v>140.16</v>
      </c>
      <c r="K760" s="8">
        <v>31.81</v>
      </c>
      <c r="L760" s="10" t="s">
        <v>17</v>
      </c>
    </row>
    <row r="761" spans="1:12" x14ac:dyDescent="0.3">
      <c r="A761" s="5" t="s">
        <v>1389</v>
      </c>
      <c r="B761" s="6">
        <v>45297</v>
      </c>
      <c r="C761" s="7" t="s">
        <v>828</v>
      </c>
      <c r="D761" s="7" t="s">
        <v>26</v>
      </c>
      <c r="E761" s="7" t="s">
        <v>502</v>
      </c>
      <c r="F761" s="7" t="s">
        <v>22</v>
      </c>
      <c r="G761" s="7">
        <v>2</v>
      </c>
      <c r="H761" s="8">
        <v>44.36</v>
      </c>
      <c r="I761" s="9">
        <v>0</v>
      </c>
      <c r="J761" s="8">
        <v>88.72</v>
      </c>
      <c r="K761" s="8">
        <v>38.590000000000003</v>
      </c>
      <c r="L761" s="10" t="s">
        <v>23</v>
      </c>
    </row>
    <row r="762" spans="1:12" x14ac:dyDescent="0.3">
      <c r="A762" s="5" t="s">
        <v>1390</v>
      </c>
      <c r="B762" s="6">
        <v>45632</v>
      </c>
      <c r="C762" s="7" t="s">
        <v>1391</v>
      </c>
      <c r="D762" s="7" t="s">
        <v>37</v>
      </c>
      <c r="E762" s="7" t="s">
        <v>105</v>
      </c>
      <c r="F762" s="7" t="s">
        <v>39</v>
      </c>
      <c r="G762" s="7">
        <v>2</v>
      </c>
      <c r="H762" s="8">
        <v>38.24</v>
      </c>
      <c r="I762" s="9">
        <v>5</v>
      </c>
      <c r="J762" s="8">
        <v>72.66</v>
      </c>
      <c r="K762" s="8">
        <v>28.78</v>
      </c>
      <c r="L762" s="10" t="s">
        <v>17</v>
      </c>
    </row>
    <row r="763" spans="1:12" x14ac:dyDescent="0.3">
      <c r="A763" s="5" t="s">
        <v>1392</v>
      </c>
      <c r="B763" s="6">
        <v>45630</v>
      </c>
      <c r="C763" s="7" t="s">
        <v>956</v>
      </c>
      <c r="D763" s="7" t="s">
        <v>26</v>
      </c>
      <c r="E763" s="7" t="s">
        <v>214</v>
      </c>
      <c r="F763" s="7" t="s">
        <v>49</v>
      </c>
      <c r="G763" s="7">
        <v>2</v>
      </c>
      <c r="H763" s="8">
        <v>80.599999999999994</v>
      </c>
      <c r="I763" s="9">
        <v>25</v>
      </c>
      <c r="J763" s="8">
        <v>120.9</v>
      </c>
      <c r="K763" s="8">
        <v>63.98</v>
      </c>
      <c r="L763" s="10" t="s">
        <v>23</v>
      </c>
    </row>
    <row r="764" spans="1:12" x14ac:dyDescent="0.3">
      <c r="A764" s="5" t="s">
        <v>1393</v>
      </c>
      <c r="B764" s="6">
        <v>45538</v>
      </c>
      <c r="C764" s="7" t="s">
        <v>1307</v>
      </c>
      <c r="D764" s="7" t="s">
        <v>37</v>
      </c>
      <c r="E764" s="7" t="s">
        <v>69</v>
      </c>
      <c r="F764" s="7" t="s">
        <v>39</v>
      </c>
      <c r="G764" s="7">
        <v>2</v>
      </c>
      <c r="H764" s="8">
        <v>56.62</v>
      </c>
      <c r="I764" s="9">
        <v>10</v>
      </c>
      <c r="J764" s="8">
        <v>101.92</v>
      </c>
      <c r="K764" s="8">
        <v>20.83</v>
      </c>
      <c r="L764" s="10" t="s">
        <v>23</v>
      </c>
    </row>
    <row r="765" spans="1:12" x14ac:dyDescent="0.3">
      <c r="A765" s="5" t="s">
        <v>1394</v>
      </c>
      <c r="B765" s="6">
        <v>45855</v>
      </c>
      <c r="C765" s="7" t="s">
        <v>1395</v>
      </c>
      <c r="D765" s="7" t="s">
        <v>20</v>
      </c>
      <c r="E765" s="7" t="s">
        <v>108</v>
      </c>
      <c r="F765" s="7" t="s">
        <v>75</v>
      </c>
      <c r="G765" s="7">
        <v>2</v>
      </c>
      <c r="H765" s="8">
        <v>58.77</v>
      </c>
      <c r="I765" s="9">
        <v>0</v>
      </c>
      <c r="J765" s="8">
        <v>117.54</v>
      </c>
      <c r="K765" s="8">
        <v>38.159999999999997</v>
      </c>
      <c r="L765" s="10" t="s">
        <v>23</v>
      </c>
    </row>
    <row r="766" spans="1:12" x14ac:dyDescent="0.3">
      <c r="A766" s="5" t="s">
        <v>1396</v>
      </c>
      <c r="B766" s="6">
        <v>45628</v>
      </c>
      <c r="C766" s="7" t="s">
        <v>1397</v>
      </c>
      <c r="D766" s="7" t="s">
        <v>20</v>
      </c>
      <c r="E766" s="7" t="s">
        <v>48</v>
      </c>
      <c r="F766" s="7" t="s">
        <v>49</v>
      </c>
      <c r="G766" s="7">
        <v>1</v>
      </c>
      <c r="H766" s="8">
        <v>41.98</v>
      </c>
      <c r="I766" s="9">
        <v>25</v>
      </c>
      <c r="J766" s="8">
        <v>31.49</v>
      </c>
      <c r="K766" s="8">
        <v>12.04</v>
      </c>
      <c r="L766" s="10" t="s">
        <v>23</v>
      </c>
    </row>
    <row r="767" spans="1:12" x14ac:dyDescent="0.3">
      <c r="A767" s="5" t="s">
        <v>1398</v>
      </c>
      <c r="B767" s="6">
        <v>45897</v>
      </c>
      <c r="C767" s="7" t="s">
        <v>1399</v>
      </c>
      <c r="D767" s="7" t="s">
        <v>20</v>
      </c>
      <c r="E767" s="7" t="s">
        <v>187</v>
      </c>
      <c r="F767" s="7" t="s">
        <v>75</v>
      </c>
      <c r="G767" s="7">
        <v>2</v>
      </c>
      <c r="H767" s="8">
        <v>17.5</v>
      </c>
      <c r="I767" s="9">
        <v>15</v>
      </c>
      <c r="J767" s="8">
        <v>29.75</v>
      </c>
      <c r="K767" s="8">
        <v>7.22</v>
      </c>
      <c r="L767" s="10" t="s">
        <v>17</v>
      </c>
    </row>
    <row r="768" spans="1:12" x14ac:dyDescent="0.3">
      <c r="A768" s="5" t="s">
        <v>1400</v>
      </c>
      <c r="B768" s="6">
        <v>45777</v>
      </c>
      <c r="C768" s="7" t="s">
        <v>1180</v>
      </c>
      <c r="D768" s="7" t="s">
        <v>20</v>
      </c>
      <c r="E768" s="7" t="s">
        <v>227</v>
      </c>
      <c r="F768" s="7" t="s">
        <v>39</v>
      </c>
      <c r="G768" s="7">
        <v>3</v>
      </c>
      <c r="H768" s="8">
        <v>72.13</v>
      </c>
      <c r="I768" s="9">
        <v>0</v>
      </c>
      <c r="J768" s="8">
        <v>216.39</v>
      </c>
      <c r="K768" s="8">
        <v>77.47</v>
      </c>
      <c r="L768" s="10" t="s">
        <v>17</v>
      </c>
    </row>
    <row r="769" spans="1:12" x14ac:dyDescent="0.3">
      <c r="A769" s="5" t="s">
        <v>1401</v>
      </c>
      <c r="B769" s="6">
        <v>45899</v>
      </c>
      <c r="C769" s="7" t="s">
        <v>1402</v>
      </c>
      <c r="D769" s="7" t="s">
        <v>20</v>
      </c>
      <c r="E769" s="7" t="s">
        <v>148</v>
      </c>
      <c r="F769" s="7" t="s">
        <v>16</v>
      </c>
      <c r="G769" s="7">
        <v>1</v>
      </c>
      <c r="H769" s="8">
        <v>126.15</v>
      </c>
      <c r="I769" s="9">
        <v>10</v>
      </c>
      <c r="J769" s="8">
        <v>113.54</v>
      </c>
      <c r="K769" s="8">
        <v>21.08</v>
      </c>
      <c r="L769" s="10" t="s">
        <v>17</v>
      </c>
    </row>
    <row r="770" spans="1:12" x14ac:dyDescent="0.3">
      <c r="A770" s="5" t="s">
        <v>1403</v>
      </c>
      <c r="B770" s="6">
        <v>45919</v>
      </c>
      <c r="C770" s="7" t="s">
        <v>1404</v>
      </c>
      <c r="D770" s="7" t="s">
        <v>14</v>
      </c>
      <c r="E770" s="7" t="s">
        <v>211</v>
      </c>
      <c r="F770" s="7" t="s">
        <v>39</v>
      </c>
      <c r="G770" s="7">
        <v>2</v>
      </c>
      <c r="H770" s="8">
        <v>41.05</v>
      </c>
      <c r="I770" s="9">
        <v>0</v>
      </c>
      <c r="J770" s="8">
        <v>82.1</v>
      </c>
      <c r="K770" s="8">
        <v>30.96</v>
      </c>
      <c r="L770" s="10" t="s">
        <v>17</v>
      </c>
    </row>
    <row r="771" spans="1:12" x14ac:dyDescent="0.3">
      <c r="A771" s="5" t="s">
        <v>1405</v>
      </c>
      <c r="B771" s="6">
        <v>45687</v>
      </c>
      <c r="C771" s="7" t="s">
        <v>1406</v>
      </c>
      <c r="D771" s="7" t="s">
        <v>42</v>
      </c>
      <c r="E771" s="7" t="s">
        <v>118</v>
      </c>
      <c r="F771" s="7" t="s">
        <v>49</v>
      </c>
      <c r="G771" s="7">
        <v>1</v>
      </c>
      <c r="H771" s="8">
        <v>80.819999999999993</v>
      </c>
      <c r="I771" s="9">
        <v>5</v>
      </c>
      <c r="J771" s="8">
        <v>76.78</v>
      </c>
      <c r="K771" s="8">
        <v>28.85</v>
      </c>
      <c r="L771" s="10" t="s">
        <v>23</v>
      </c>
    </row>
    <row r="772" spans="1:12" x14ac:dyDescent="0.3">
      <c r="A772" s="5" t="s">
        <v>1407</v>
      </c>
      <c r="B772" s="6">
        <v>45366</v>
      </c>
      <c r="C772" s="7" t="s">
        <v>1408</v>
      </c>
      <c r="D772" s="7" t="s">
        <v>42</v>
      </c>
      <c r="E772" s="7" t="s">
        <v>286</v>
      </c>
      <c r="F772" s="7" t="s">
        <v>39</v>
      </c>
      <c r="G772" s="7">
        <v>2</v>
      </c>
      <c r="H772" s="8">
        <v>75.25</v>
      </c>
      <c r="I772" s="9">
        <v>20</v>
      </c>
      <c r="J772" s="8">
        <v>120.4</v>
      </c>
      <c r="K772" s="8">
        <v>40.159999999999997</v>
      </c>
      <c r="L772" s="10" t="s">
        <v>17</v>
      </c>
    </row>
    <row r="773" spans="1:12" x14ac:dyDescent="0.3">
      <c r="A773" s="5" t="s">
        <v>1409</v>
      </c>
      <c r="B773" s="6">
        <v>46005</v>
      </c>
      <c r="C773" s="7" t="s">
        <v>1320</v>
      </c>
      <c r="D773" s="7" t="s">
        <v>42</v>
      </c>
      <c r="E773" s="7" t="s">
        <v>148</v>
      </c>
      <c r="F773" s="7" t="s">
        <v>16</v>
      </c>
      <c r="G773" s="7">
        <v>4</v>
      </c>
      <c r="H773" s="8">
        <v>98.09</v>
      </c>
      <c r="I773" s="9">
        <v>5</v>
      </c>
      <c r="J773" s="8">
        <v>372.74</v>
      </c>
      <c r="K773" s="8">
        <v>60.42</v>
      </c>
      <c r="L773" s="10" t="s">
        <v>23</v>
      </c>
    </row>
    <row r="774" spans="1:12" x14ac:dyDescent="0.3">
      <c r="A774" s="5" t="s">
        <v>1410</v>
      </c>
      <c r="B774" s="6">
        <v>45569</v>
      </c>
      <c r="C774" s="7" t="s">
        <v>1411</v>
      </c>
      <c r="D774" s="7" t="s">
        <v>42</v>
      </c>
      <c r="E774" s="7" t="s">
        <v>133</v>
      </c>
      <c r="F774" s="7" t="s">
        <v>75</v>
      </c>
      <c r="G774" s="7">
        <v>1</v>
      </c>
      <c r="H774" s="8">
        <v>27.27</v>
      </c>
      <c r="I774" s="9">
        <v>0</v>
      </c>
      <c r="J774" s="8">
        <v>27.27</v>
      </c>
      <c r="K774" s="8">
        <v>9.3800000000000008</v>
      </c>
      <c r="L774" s="10" t="s">
        <v>17</v>
      </c>
    </row>
    <row r="775" spans="1:12" x14ac:dyDescent="0.3">
      <c r="A775" s="5" t="s">
        <v>1412</v>
      </c>
      <c r="B775" s="6">
        <v>45918</v>
      </c>
      <c r="C775" s="7" t="s">
        <v>637</v>
      </c>
      <c r="D775" s="7" t="s">
        <v>42</v>
      </c>
      <c r="E775" s="7" t="s">
        <v>309</v>
      </c>
      <c r="F775" s="7" t="s">
        <v>75</v>
      </c>
      <c r="G775" s="7">
        <v>2</v>
      </c>
      <c r="H775" s="8">
        <v>28.96</v>
      </c>
      <c r="I775" s="9">
        <v>0</v>
      </c>
      <c r="J775" s="8">
        <v>57.92</v>
      </c>
      <c r="K775" s="8">
        <v>16.04</v>
      </c>
      <c r="L775" s="10" t="s">
        <v>34</v>
      </c>
    </row>
    <row r="776" spans="1:12" x14ac:dyDescent="0.3">
      <c r="A776" s="5" t="s">
        <v>1413</v>
      </c>
      <c r="B776" s="6">
        <v>45819</v>
      </c>
      <c r="C776" s="7" t="s">
        <v>1414</v>
      </c>
      <c r="D776" s="7" t="s">
        <v>37</v>
      </c>
      <c r="E776" s="7" t="s">
        <v>460</v>
      </c>
      <c r="F776" s="7" t="s">
        <v>75</v>
      </c>
      <c r="G776" s="7">
        <v>1</v>
      </c>
      <c r="H776" s="8">
        <v>58.35</v>
      </c>
      <c r="I776" s="9">
        <v>20</v>
      </c>
      <c r="J776" s="8">
        <v>46.68</v>
      </c>
      <c r="K776" s="8">
        <v>15.8</v>
      </c>
      <c r="L776" s="10" t="s">
        <v>23</v>
      </c>
    </row>
    <row r="777" spans="1:12" x14ac:dyDescent="0.3">
      <c r="A777" s="5" t="s">
        <v>1415</v>
      </c>
      <c r="B777" s="6">
        <v>45655</v>
      </c>
      <c r="C777" s="7" t="s">
        <v>1360</v>
      </c>
      <c r="D777" s="7" t="s">
        <v>14</v>
      </c>
      <c r="E777" s="7" t="s">
        <v>187</v>
      </c>
      <c r="F777" s="7" t="s">
        <v>75</v>
      </c>
      <c r="G777" s="7">
        <v>3</v>
      </c>
      <c r="H777" s="8">
        <v>24.14</v>
      </c>
      <c r="I777" s="9">
        <v>10</v>
      </c>
      <c r="J777" s="8">
        <v>65.180000000000007</v>
      </c>
      <c r="K777" s="8">
        <v>13.4</v>
      </c>
      <c r="L777" s="10" t="s">
        <v>17</v>
      </c>
    </row>
    <row r="778" spans="1:12" x14ac:dyDescent="0.3">
      <c r="A778" s="5" t="s">
        <v>1416</v>
      </c>
      <c r="B778" s="6">
        <v>45793</v>
      </c>
      <c r="C778" s="7" t="s">
        <v>1417</v>
      </c>
      <c r="D778" s="7" t="s">
        <v>20</v>
      </c>
      <c r="E778" s="7" t="s">
        <v>118</v>
      </c>
      <c r="F778" s="7" t="s">
        <v>49</v>
      </c>
      <c r="G778" s="7">
        <v>1</v>
      </c>
      <c r="H778" s="8">
        <v>41.12</v>
      </c>
      <c r="I778" s="9">
        <v>15</v>
      </c>
      <c r="J778" s="8">
        <v>34.950000000000003</v>
      </c>
      <c r="K778" s="8">
        <v>17.600000000000001</v>
      </c>
      <c r="L778" s="10" t="s">
        <v>23</v>
      </c>
    </row>
    <row r="779" spans="1:12" x14ac:dyDescent="0.3">
      <c r="A779" s="5" t="s">
        <v>1418</v>
      </c>
      <c r="B779" s="6">
        <v>45886</v>
      </c>
      <c r="C779" s="7" t="s">
        <v>695</v>
      </c>
      <c r="D779" s="7" t="s">
        <v>37</v>
      </c>
      <c r="E779" s="7" t="s">
        <v>61</v>
      </c>
      <c r="F779" s="7" t="s">
        <v>39</v>
      </c>
      <c r="G779" s="7">
        <v>1</v>
      </c>
      <c r="H779" s="8">
        <v>43.99</v>
      </c>
      <c r="I779" s="9">
        <v>5</v>
      </c>
      <c r="J779" s="8">
        <v>41.79</v>
      </c>
      <c r="K779" s="8">
        <v>12.91</v>
      </c>
      <c r="L779" s="10" t="s">
        <v>23</v>
      </c>
    </row>
    <row r="780" spans="1:12" x14ac:dyDescent="0.3">
      <c r="A780" s="5" t="s">
        <v>1419</v>
      </c>
      <c r="B780" s="6">
        <v>45618</v>
      </c>
      <c r="C780" s="7" t="s">
        <v>1420</v>
      </c>
      <c r="D780" s="7" t="s">
        <v>14</v>
      </c>
      <c r="E780" s="7" t="s">
        <v>58</v>
      </c>
      <c r="F780" s="7" t="s">
        <v>49</v>
      </c>
      <c r="G780" s="7">
        <v>1</v>
      </c>
      <c r="H780" s="8">
        <v>57.01</v>
      </c>
      <c r="I780" s="9">
        <v>5</v>
      </c>
      <c r="J780" s="8">
        <v>54.16</v>
      </c>
      <c r="K780" s="8">
        <v>29.08</v>
      </c>
      <c r="L780" s="10" t="s">
        <v>17</v>
      </c>
    </row>
    <row r="781" spans="1:12" x14ac:dyDescent="0.3">
      <c r="A781" s="5" t="s">
        <v>1421</v>
      </c>
      <c r="B781" s="6">
        <v>45519</v>
      </c>
      <c r="C781" s="7" t="s">
        <v>1422</v>
      </c>
      <c r="D781" s="7" t="s">
        <v>42</v>
      </c>
      <c r="E781" s="7" t="s">
        <v>460</v>
      </c>
      <c r="F781" s="7" t="s">
        <v>75</v>
      </c>
      <c r="G781" s="7">
        <v>1</v>
      </c>
      <c r="H781" s="8">
        <v>42.16</v>
      </c>
      <c r="I781" s="9">
        <v>0</v>
      </c>
      <c r="J781" s="8">
        <v>42.16</v>
      </c>
      <c r="K781" s="8">
        <v>8.14</v>
      </c>
      <c r="L781" s="10" t="s">
        <v>17</v>
      </c>
    </row>
    <row r="782" spans="1:12" x14ac:dyDescent="0.3">
      <c r="A782" s="5" t="s">
        <v>1423</v>
      </c>
      <c r="B782" s="6">
        <v>45411</v>
      </c>
      <c r="C782" s="7" t="s">
        <v>1138</v>
      </c>
      <c r="D782" s="7" t="s">
        <v>20</v>
      </c>
      <c r="E782" s="7" t="s">
        <v>88</v>
      </c>
      <c r="F782" s="7" t="s">
        <v>22</v>
      </c>
      <c r="G782" s="7">
        <v>2</v>
      </c>
      <c r="H782" s="8">
        <v>16.260000000000002</v>
      </c>
      <c r="I782" s="9">
        <v>0</v>
      </c>
      <c r="J782" s="8">
        <v>32.520000000000003</v>
      </c>
      <c r="K782" s="8">
        <v>13.67</v>
      </c>
      <c r="L782" s="10" t="s">
        <v>17</v>
      </c>
    </row>
    <row r="783" spans="1:12" x14ac:dyDescent="0.3">
      <c r="A783" s="5" t="s">
        <v>1424</v>
      </c>
      <c r="B783" s="6">
        <v>45552</v>
      </c>
      <c r="C783" s="7" t="s">
        <v>967</v>
      </c>
      <c r="D783" s="7" t="s">
        <v>20</v>
      </c>
      <c r="E783" s="7" t="s">
        <v>211</v>
      </c>
      <c r="F783" s="7" t="s">
        <v>39</v>
      </c>
      <c r="G783" s="7">
        <v>2</v>
      </c>
      <c r="H783" s="8">
        <v>44.58</v>
      </c>
      <c r="I783" s="9">
        <v>0</v>
      </c>
      <c r="J783" s="8">
        <v>89.16</v>
      </c>
      <c r="K783" s="8">
        <v>32.36</v>
      </c>
      <c r="L783" s="10" t="s">
        <v>34</v>
      </c>
    </row>
    <row r="784" spans="1:12" x14ac:dyDescent="0.3">
      <c r="A784" s="5" t="s">
        <v>1425</v>
      </c>
      <c r="B784" s="6">
        <v>45668</v>
      </c>
      <c r="C784" s="7" t="s">
        <v>1426</v>
      </c>
      <c r="D784" s="7" t="s">
        <v>26</v>
      </c>
      <c r="E784" s="7" t="s">
        <v>148</v>
      </c>
      <c r="F784" s="7" t="s">
        <v>16</v>
      </c>
      <c r="G784" s="7">
        <v>3</v>
      </c>
      <c r="H784" s="8">
        <v>81.849999999999994</v>
      </c>
      <c r="I784" s="9">
        <v>5</v>
      </c>
      <c r="J784" s="8">
        <v>233.27</v>
      </c>
      <c r="K784" s="8">
        <v>54.81</v>
      </c>
      <c r="L784" s="10" t="s">
        <v>17</v>
      </c>
    </row>
    <row r="785" spans="1:12" x14ac:dyDescent="0.3">
      <c r="A785" s="5" t="s">
        <v>1427</v>
      </c>
      <c r="B785" s="6">
        <v>45972</v>
      </c>
      <c r="C785" s="7" t="s">
        <v>887</v>
      </c>
      <c r="D785" s="7" t="s">
        <v>42</v>
      </c>
      <c r="E785" s="7" t="s">
        <v>208</v>
      </c>
      <c r="F785" s="7" t="s">
        <v>22</v>
      </c>
      <c r="G785" s="7">
        <v>1</v>
      </c>
      <c r="H785" s="8">
        <v>19.78</v>
      </c>
      <c r="I785" s="9">
        <v>5</v>
      </c>
      <c r="J785" s="8">
        <v>18.79</v>
      </c>
      <c r="K785" s="8">
        <v>9.02</v>
      </c>
      <c r="L785" s="10" t="s">
        <v>17</v>
      </c>
    </row>
    <row r="786" spans="1:12" x14ac:dyDescent="0.3">
      <c r="A786" s="5" t="s">
        <v>1428</v>
      </c>
      <c r="B786" s="6">
        <v>45348</v>
      </c>
      <c r="C786" s="7" t="s">
        <v>248</v>
      </c>
      <c r="D786" s="7" t="s">
        <v>14</v>
      </c>
      <c r="E786" s="7" t="s">
        <v>111</v>
      </c>
      <c r="F786" s="7" t="s">
        <v>49</v>
      </c>
      <c r="G786" s="7">
        <v>3</v>
      </c>
      <c r="H786" s="8">
        <v>31.02</v>
      </c>
      <c r="I786" s="9">
        <v>0</v>
      </c>
      <c r="J786" s="8">
        <v>93.06</v>
      </c>
      <c r="K786" s="8">
        <v>34.82</v>
      </c>
      <c r="L786" s="10" t="s">
        <v>17</v>
      </c>
    </row>
    <row r="787" spans="1:12" x14ac:dyDescent="0.3">
      <c r="A787" s="5" t="s">
        <v>1429</v>
      </c>
      <c r="B787" s="6">
        <v>45308</v>
      </c>
      <c r="C787" s="7" t="s">
        <v>1430</v>
      </c>
      <c r="D787" s="7" t="s">
        <v>37</v>
      </c>
      <c r="E787" s="7" t="s">
        <v>309</v>
      </c>
      <c r="F787" s="7" t="s">
        <v>75</v>
      </c>
      <c r="G787" s="7">
        <v>4</v>
      </c>
      <c r="H787" s="8">
        <v>54.32</v>
      </c>
      <c r="I787" s="9">
        <v>15</v>
      </c>
      <c r="J787" s="8">
        <v>184.69</v>
      </c>
      <c r="K787" s="8">
        <v>60.97</v>
      </c>
      <c r="L787" s="10" t="s">
        <v>23</v>
      </c>
    </row>
    <row r="788" spans="1:12" x14ac:dyDescent="0.3">
      <c r="A788" s="5" t="s">
        <v>1431</v>
      </c>
      <c r="B788" s="6">
        <v>45386</v>
      </c>
      <c r="C788" s="7" t="s">
        <v>1432</v>
      </c>
      <c r="D788" s="7" t="s">
        <v>37</v>
      </c>
      <c r="E788" s="7" t="s">
        <v>27</v>
      </c>
      <c r="F788" s="7" t="s">
        <v>22</v>
      </c>
      <c r="G788" s="7">
        <v>3</v>
      </c>
      <c r="H788" s="8">
        <v>32.29</v>
      </c>
      <c r="I788" s="9">
        <v>10</v>
      </c>
      <c r="J788" s="8">
        <v>87.18</v>
      </c>
      <c r="K788" s="8">
        <v>56.66</v>
      </c>
      <c r="L788" s="10" t="s">
        <v>17</v>
      </c>
    </row>
    <row r="789" spans="1:12" x14ac:dyDescent="0.3">
      <c r="A789" s="5" t="s">
        <v>1433</v>
      </c>
      <c r="B789" s="6">
        <v>45777</v>
      </c>
      <c r="C789" s="7" t="s">
        <v>1434</v>
      </c>
      <c r="D789" s="7" t="s">
        <v>42</v>
      </c>
      <c r="E789" s="7" t="s">
        <v>460</v>
      </c>
      <c r="F789" s="7" t="s">
        <v>75</v>
      </c>
      <c r="G789" s="7">
        <v>1</v>
      </c>
      <c r="H789" s="8">
        <v>19.149999999999999</v>
      </c>
      <c r="I789" s="9">
        <v>0</v>
      </c>
      <c r="J789" s="8">
        <v>19.149999999999999</v>
      </c>
      <c r="K789" s="8">
        <v>3.96</v>
      </c>
      <c r="L789" s="10" t="s">
        <v>17</v>
      </c>
    </row>
    <row r="790" spans="1:12" x14ac:dyDescent="0.3">
      <c r="A790" s="5" t="s">
        <v>1435</v>
      </c>
      <c r="B790" s="6">
        <v>45470</v>
      </c>
      <c r="C790" s="7" t="s">
        <v>1436</v>
      </c>
      <c r="D790" s="7" t="s">
        <v>42</v>
      </c>
      <c r="E790" s="7" t="s">
        <v>15</v>
      </c>
      <c r="F790" s="7" t="s">
        <v>16</v>
      </c>
      <c r="G790" s="7">
        <v>1</v>
      </c>
      <c r="H790" s="8">
        <v>44.85</v>
      </c>
      <c r="I790" s="9">
        <v>10</v>
      </c>
      <c r="J790" s="8">
        <v>40.369999999999997</v>
      </c>
      <c r="K790" s="8">
        <v>8.14</v>
      </c>
      <c r="L790" s="10" t="s">
        <v>23</v>
      </c>
    </row>
    <row r="791" spans="1:12" x14ac:dyDescent="0.3">
      <c r="A791" s="5" t="s">
        <v>1437</v>
      </c>
      <c r="B791" s="6">
        <v>45566</v>
      </c>
      <c r="C791" s="7" t="s">
        <v>1438</v>
      </c>
      <c r="D791" s="7" t="s">
        <v>42</v>
      </c>
      <c r="E791" s="7" t="s">
        <v>61</v>
      </c>
      <c r="F791" s="7" t="s">
        <v>39</v>
      </c>
      <c r="G791" s="7">
        <v>2</v>
      </c>
      <c r="H791" s="8">
        <v>73.8</v>
      </c>
      <c r="I791" s="9">
        <v>15</v>
      </c>
      <c r="J791" s="8">
        <v>125.46</v>
      </c>
      <c r="K791" s="8">
        <v>27.85</v>
      </c>
      <c r="L791" s="10" t="s">
        <v>23</v>
      </c>
    </row>
    <row r="792" spans="1:12" x14ac:dyDescent="0.3">
      <c r="A792" s="5" t="s">
        <v>1439</v>
      </c>
      <c r="B792" s="6">
        <v>45364</v>
      </c>
      <c r="C792" s="7" t="s">
        <v>340</v>
      </c>
      <c r="D792" s="7" t="s">
        <v>42</v>
      </c>
      <c r="E792" s="7" t="s">
        <v>48</v>
      </c>
      <c r="F792" s="7" t="s">
        <v>49</v>
      </c>
      <c r="G792" s="7">
        <v>1</v>
      </c>
      <c r="H792" s="8">
        <v>38.19</v>
      </c>
      <c r="I792" s="9">
        <v>25</v>
      </c>
      <c r="J792" s="8">
        <v>28.64</v>
      </c>
      <c r="K792" s="8">
        <v>11.92</v>
      </c>
      <c r="L792" s="10" t="s">
        <v>17</v>
      </c>
    </row>
    <row r="793" spans="1:12" x14ac:dyDescent="0.3">
      <c r="A793" s="5" t="s">
        <v>1440</v>
      </c>
      <c r="B793" s="6">
        <v>45410</v>
      </c>
      <c r="C793" s="7" t="s">
        <v>1441</v>
      </c>
      <c r="D793" s="7" t="s">
        <v>26</v>
      </c>
      <c r="E793" s="7" t="s">
        <v>69</v>
      </c>
      <c r="F793" s="7" t="s">
        <v>39</v>
      </c>
      <c r="G793" s="7">
        <v>1</v>
      </c>
      <c r="H793" s="8">
        <v>43.03</v>
      </c>
      <c r="I793" s="9">
        <v>0</v>
      </c>
      <c r="J793" s="8">
        <v>43.03</v>
      </c>
      <c r="K793" s="8">
        <v>11.02</v>
      </c>
      <c r="L793" s="10" t="s">
        <v>17</v>
      </c>
    </row>
    <row r="794" spans="1:12" x14ac:dyDescent="0.3">
      <c r="A794" s="5" t="s">
        <v>1442</v>
      </c>
      <c r="B794" s="6">
        <v>45579</v>
      </c>
      <c r="C794" s="7" t="s">
        <v>1443</v>
      </c>
      <c r="D794" s="7" t="s">
        <v>20</v>
      </c>
      <c r="E794" s="7" t="s">
        <v>21</v>
      </c>
      <c r="F794" s="7" t="s">
        <v>22</v>
      </c>
      <c r="G794" s="7">
        <v>4</v>
      </c>
      <c r="H794" s="8">
        <v>14.98</v>
      </c>
      <c r="I794" s="9">
        <v>10</v>
      </c>
      <c r="J794" s="8">
        <v>53.93</v>
      </c>
      <c r="K794" s="8">
        <v>29.86</v>
      </c>
      <c r="L794" s="10" t="s">
        <v>17</v>
      </c>
    </row>
    <row r="795" spans="1:12" x14ac:dyDescent="0.3">
      <c r="A795" s="5" t="s">
        <v>1444</v>
      </c>
      <c r="B795" s="6">
        <v>45479</v>
      </c>
      <c r="C795" s="7" t="s">
        <v>1445</v>
      </c>
      <c r="D795" s="7" t="s">
        <v>26</v>
      </c>
      <c r="E795" s="7" t="s">
        <v>58</v>
      </c>
      <c r="F795" s="7" t="s">
        <v>49</v>
      </c>
      <c r="G795" s="7">
        <v>3</v>
      </c>
      <c r="H795" s="8">
        <v>81.239999999999995</v>
      </c>
      <c r="I795" s="9">
        <v>15</v>
      </c>
      <c r="J795" s="8">
        <v>207.16</v>
      </c>
      <c r="K795" s="8">
        <v>72.27</v>
      </c>
      <c r="L795" s="10" t="s">
        <v>17</v>
      </c>
    </row>
    <row r="796" spans="1:12" x14ac:dyDescent="0.3">
      <c r="A796" s="5" t="s">
        <v>1446</v>
      </c>
      <c r="B796" s="6">
        <v>45916</v>
      </c>
      <c r="C796" s="7" t="s">
        <v>1447</v>
      </c>
      <c r="D796" s="7" t="s">
        <v>20</v>
      </c>
      <c r="E796" s="7" t="s">
        <v>253</v>
      </c>
      <c r="F796" s="7" t="s">
        <v>49</v>
      </c>
      <c r="G796" s="7">
        <v>5</v>
      </c>
      <c r="H796" s="8">
        <v>73.12</v>
      </c>
      <c r="I796" s="9">
        <v>0</v>
      </c>
      <c r="J796" s="8">
        <v>365.6</v>
      </c>
      <c r="K796" s="8">
        <v>150.05000000000001</v>
      </c>
      <c r="L796" s="10" t="s">
        <v>17</v>
      </c>
    </row>
    <row r="797" spans="1:12" x14ac:dyDescent="0.3">
      <c r="A797" s="5" t="s">
        <v>1448</v>
      </c>
      <c r="B797" s="6">
        <v>45713</v>
      </c>
      <c r="C797" s="7" t="s">
        <v>683</v>
      </c>
      <c r="D797" s="7" t="s">
        <v>14</v>
      </c>
      <c r="E797" s="7" t="s">
        <v>154</v>
      </c>
      <c r="F797" s="7" t="s">
        <v>39</v>
      </c>
      <c r="G797" s="7">
        <v>2</v>
      </c>
      <c r="H797" s="8">
        <v>46.25</v>
      </c>
      <c r="I797" s="9">
        <v>10</v>
      </c>
      <c r="J797" s="8">
        <v>83.25</v>
      </c>
      <c r="K797" s="8">
        <v>20.78</v>
      </c>
      <c r="L797" s="10" t="s">
        <v>17</v>
      </c>
    </row>
    <row r="798" spans="1:12" x14ac:dyDescent="0.3">
      <c r="A798" s="5" t="s">
        <v>1449</v>
      </c>
      <c r="B798" s="6">
        <v>45748</v>
      </c>
      <c r="C798" s="7" t="s">
        <v>1450</v>
      </c>
      <c r="D798" s="7" t="s">
        <v>37</v>
      </c>
      <c r="E798" s="7" t="s">
        <v>309</v>
      </c>
      <c r="F798" s="7" t="s">
        <v>75</v>
      </c>
      <c r="G798" s="7">
        <v>4</v>
      </c>
      <c r="H798" s="8">
        <v>17.04</v>
      </c>
      <c r="I798" s="9">
        <v>0</v>
      </c>
      <c r="J798" s="8">
        <v>68.16</v>
      </c>
      <c r="K798" s="8">
        <v>12.94</v>
      </c>
      <c r="L798" s="10" t="s">
        <v>23</v>
      </c>
    </row>
    <row r="799" spans="1:12" x14ac:dyDescent="0.3">
      <c r="A799" s="5" t="s">
        <v>1451</v>
      </c>
      <c r="B799" s="6">
        <v>45970</v>
      </c>
      <c r="C799" s="7" t="s">
        <v>1452</v>
      </c>
      <c r="D799" s="7" t="s">
        <v>37</v>
      </c>
      <c r="E799" s="7" t="s">
        <v>177</v>
      </c>
      <c r="F799" s="7" t="s">
        <v>49</v>
      </c>
      <c r="G799" s="7">
        <v>2</v>
      </c>
      <c r="H799" s="8">
        <v>57.29</v>
      </c>
      <c r="I799" s="9">
        <v>0</v>
      </c>
      <c r="J799" s="8">
        <v>114.58</v>
      </c>
      <c r="K799" s="8">
        <v>60.08</v>
      </c>
      <c r="L799" s="10" t="s">
        <v>17</v>
      </c>
    </row>
    <row r="800" spans="1:12" x14ac:dyDescent="0.3">
      <c r="A800" s="5" t="s">
        <v>1453</v>
      </c>
      <c r="B800" s="6">
        <v>45776</v>
      </c>
      <c r="C800" s="7" t="s">
        <v>911</v>
      </c>
      <c r="D800" s="7" t="s">
        <v>14</v>
      </c>
      <c r="E800" s="7" t="s">
        <v>43</v>
      </c>
      <c r="F800" s="7" t="s">
        <v>22</v>
      </c>
      <c r="G800" s="7">
        <v>2</v>
      </c>
      <c r="H800" s="8">
        <v>8.23</v>
      </c>
      <c r="I800" s="9">
        <v>0</v>
      </c>
      <c r="J800" s="8">
        <v>16.46</v>
      </c>
      <c r="K800" s="8">
        <v>10.220000000000001</v>
      </c>
      <c r="L800" s="10" t="s">
        <v>23</v>
      </c>
    </row>
    <row r="801" spans="1:12" x14ac:dyDescent="0.3">
      <c r="A801" s="5" t="s">
        <v>1454</v>
      </c>
      <c r="B801" s="6">
        <v>45709</v>
      </c>
      <c r="C801" s="7" t="s">
        <v>1455</v>
      </c>
      <c r="D801" s="7" t="s">
        <v>42</v>
      </c>
      <c r="E801" s="7" t="s">
        <v>314</v>
      </c>
      <c r="F801" s="7" t="s">
        <v>16</v>
      </c>
      <c r="G801" s="7">
        <v>1</v>
      </c>
      <c r="H801" s="8">
        <v>27.06</v>
      </c>
      <c r="I801" s="9">
        <v>15</v>
      </c>
      <c r="J801" s="8">
        <v>23</v>
      </c>
      <c r="K801" s="8">
        <v>2.96</v>
      </c>
      <c r="L801" s="10" t="s">
        <v>17</v>
      </c>
    </row>
    <row r="802" spans="1:12" x14ac:dyDescent="0.3">
      <c r="A802" s="5" t="s">
        <v>1456</v>
      </c>
      <c r="B802" s="6">
        <v>45855</v>
      </c>
      <c r="C802" s="7" t="s">
        <v>1457</v>
      </c>
      <c r="D802" s="7" t="s">
        <v>26</v>
      </c>
      <c r="E802" s="7" t="s">
        <v>208</v>
      </c>
      <c r="F802" s="7" t="s">
        <v>22</v>
      </c>
      <c r="G802" s="7">
        <v>2</v>
      </c>
      <c r="H802" s="8">
        <v>15.66</v>
      </c>
      <c r="I802" s="9">
        <v>10</v>
      </c>
      <c r="J802" s="8">
        <v>28.19</v>
      </c>
      <c r="K802" s="8">
        <v>16.36</v>
      </c>
      <c r="L802" s="10" t="s">
        <v>17</v>
      </c>
    </row>
    <row r="803" spans="1:12" x14ac:dyDescent="0.3">
      <c r="A803" s="5" t="s">
        <v>1458</v>
      </c>
      <c r="B803" s="6">
        <v>45734</v>
      </c>
      <c r="C803" s="7" t="s">
        <v>1459</v>
      </c>
      <c r="D803" s="7" t="s">
        <v>42</v>
      </c>
      <c r="E803" s="7" t="s">
        <v>151</v>
      </c>
      <c r="F803" s="7" t="s">
        <v>39</v>
      </c>
      <c r="G803" s="7">
        <v>2</v>
      </c>
      <c r="H803" s="8">
        <v>20.25</v>
      </c>
      <c r="I803" s="9">
        <v>0</v>
      </c>
      <c r="J803" s="8">
        <v>40.5</v>
      </c>
      <c r="K803" s="8">
        <v>15.52</v>
      </c>
      <c r="L803" s="10" t="s">
        <v>17</v>
      </c>
    </row>
    <row r="804" spans="1:12" x14ac:dyDescent="0.3">
      <c r="A804" s="5" t="s">
        <v>1460</v>
      </c>
      <c r="B804" s="6">
        <v>45532</v>
      </c>
      <c r="C804" s="7" t="s">
        <v>1461</v>
      </c>
      <c r="D804" s="7" t="s">
        <v>14</v>
      </c>
      <c r="E804" s="7" t="s">
        <v>253</v>
      </c>
      <c r="F804" s="7" t="s">
        <v>49</v>
      </c>
      <c r="G804" s="7">
        <v>4</v>
      </c>
      <c r="H804" s="8">
        <v>16.68</v>
      </c>
      <c r="I804" s="9">
        <v>0</v>
      </c>
      <c r="J804" s="8">
        <v>66.72</v>
      </c>
      <c r="K804" s="8">
        <v>32.840000000000003</v>
      </c>
      <c r="L804" s="10" t="s">
        <v>23</v>
      </c>
    </row>
    <row r="805" spans="1:12" x14ac:dyDescent="0.3">
      <c r="A805" s="5" t="s">
        <v>1462</v>
      </c>
      <c r="B805" s="6">
        <v>45570</v>
      </c>
      <c r="C805" s="7" t="s">
        <v>754</v>
      </c>
      <c r="D805" s="7" t="s">
        <v>37</v>
      </c>
      <c r="E805" s="7" t="s">
        <v>246</v>
      </c>
      <c r="F805" s="7" t="s">
        <v>75</v>
      </c>
      <c r="G805" s="7">
        <v>2</v>
      </c>
      <c r="H805" s="8">
        <v>45.45</v>
      </c>
      <c r="I805" s="9">
        <v>0</v>
      </c>
      <c r="J805" s="8">
        <v>90.9</v>
      </c>
      <c r="K805" s="8">
        <v>29.59</v>
      </c>
      <c r="L805" s="10" t="s">
        <v>17</v>
      </c>
    </row>
    <row r="806" spans="1:12" x14ac:dyDescent="0.3">
      <c r="A806" s="5" t="s">
        <v>1463</v>
      </c>
      <c r="B806" s="6">
        <v>45549</v>
      </c>
      <c r="C806" s="7" t="s">
        <v>1464</v>
      </c>
      <c r="D806" s="7" t="s">
        <v>20</v>
      </c>
      <c r="E806" s="7" t="s">
        <v>151</v>
      </c>
      <c r="F806" s="7" t="s">
        <v>39</v>
      </c>
      <c r="G806" s="7">
        <v>1</v>
      </c>
      <c r="H806" s="8">
        <v>26.83</v>
      </c>
      <c r="I806" s="9">
        <v>10</v>
      </c>
      <c r="J806" s="8">
        <v>24.15</v>
      </c>
      <c r="K806" s="8">
        <v>4.9800000000000004</v>
      </c>
      <c r="L806" s="10" t="s">
        <v>23</v>
      </c>
    </row>
    <row r="807" spans="1:12" x14ac:dyDescent="0.3">
      <c r="A807" s="5" t="s">
        <v>1465</v>
      </c>
      <c r="B807" s="6">
        <v>45573</v>
      </c>
      <c r="C807" s="7" t="s">
        <v>1466</v>
      </c>
      <c r="D807" s="7" t="s">
        <v>14</v>
      </c>
      <c r="E807" s="7" t="s">
        <v>48</v>
      </c>
      <c r="F807" s="7" t="s">
        <v>49</v>
      </c>
      <c r="G807" s="7">
        <v>1</v>
      </c>
      <c r="H807" s="8">
        <v>42.04</v>
      </c>
      <c r="I807" s="9">
        <v>5</v>
      </c>
      <c r="J807" s="8">
        <v>39.94</v>
      </c>
      <c r="K807" s="8">
        <v>21.42</v>
      </c>
      <c r="L807" s="10" t="s">
        <v>23</v>
      </c>
    </row>
    <row r="808" spans="1:12" x14ac:dyDescent="0.3">
      <c r="A808" s="5" t="s">
        <v>1467</v>
      </c>
      <c r="B808" s="6">
        <v>45515</v>
      </c>
      <c r="C808" s="7" t="s">
        <v>529</v>
      </c>
      <c r="D808" s="7" t="s">
        <v>20</v>
      </c>
      <c r="E808" s="7" t="s">
        <v>309</v>
      </c>
      <c r="F808" s="7" t="s">
        <v>75</v>
      </c>
      <c r="G808" s="7">
        <v>1</v>
      </c>
      <c r="H808" s="8">
        <v>10.93</v>
      </c>
      <c r="I808" s="9">
        <v>10</v>
      </c>
      <c r="J808" s="8">
        <v>9.84</v>
      </c>
      <c r="K808" s="8">
        <v>3.38</v>
      </c>
      <c r="L808" s="10" t="s">
        <v>23</v>
      </c>
    </row>
    <row r="809" spans="1:12" x14ac:dyDescent="0.3">
      <c r="A809" s="5" t="s">
        <v>1468</v>
      </c>
      <c r="B809" s="6">
        <v>45864</v>
      </c>
      <c r="C809" s="7" t="s">
        <v>547</v>
      </c>
      <c r="D809" s="7" t="s">
        <v>37</v>
      </c>
      <c r="E809" s="7" t="s">
        <v>148</v>
      </c>
      <c r="F809" s="7" t="s">
        <v>16</v>
      </c>
      <c r="G809" s="7">
        <v>1</v>
      </c>
      <c r="H809" s="8">
        <v>51.42</v>
      </c>
      <c r="I809" s="9">
        <v>0</v>
      </c>
      <c r="J809" s="8">
        <v>51.42</v>
      </c>
      <c r="K809" s="8">
        <v>10.65</v>
      </c>
      <c r="L809" s="10" t="s">
        <v>17</v>
      </c>
    </row>
    <row r="810" spans="1:12" x14ac:dyDescent="0.3">
      <c r="A810" s="5" t="s">
        <v>1469</v>
      </c>
      <c r="B810" s="6">
        <v>45733</v>
      </c>
      <c r="C810" s="7" t="s">
        <v>342</v>
      </c>
      <c r="D810" s="7" t="s">
        <v>42</v>
      </c>
      <c r="E810" s="7" t="s">
        <v>151</v>
      </c>
      <c r="F810" s="7" t="s">
        <v>39</v>
      </c>
      <c r="G810" s="7">
        <v>5</v>
      </c>
      <c r="H810" s="8">
        <v>31.67</v>
      </c>
      <c r="I810" s="9">
        <v>5</v>
      </c>
      <c r="J810" s="8">
        <v>150.43</v>
      </c>
      <c r="K810" s="8">
        <v>50.37</v>
      </c>
      <c r="L810" s="10" t="s">
        <v>17</v>
      </c>
    </row>
    <row r="811" spans="1:12" x14ac:dyDescent="0.3">
      <c r="A811" s="5" t="s">
        <v>1470</v>
      </c>
      <c r="B811" s="6">
        <v>45950</v>
      </c>
      <c r="C811" s="7" t="s">
        <v>102</v>
      </c>
      <c r="D811" s="7" t="s">
        <v>20</v>
      </c>
      <c r="E811" s="7" t="s">
        <v>154</v>
      </c>
      <c r="F811" s="7" t="s">
        <v>39</v>
      </c>
      <c r="G811" s="7">
        <v>1</v>
      </c>
      <c r="H811" s="8">
        <v>79.23</v>
      </c>
      <c r="I811" s="9">
        <v>0</v>
      </c>
      <c r="J811" s="8">
        <v>79.23</v>
      </c>
      <c r="K811" s="8">
        <v>26.89</v>
      </c>
      <c r="L811" s="10" t="s">
        <v>17</v>
      </c>
    </row>
    <row r="812" spans="1:12" x14ac:dyDescent="0.3">
      <c r="A812" s="5" t="s">
        <v>1471</v>
      </c>
      <c r="B812" s="6">
        <v>45316</v>
      </c>
      <c r="C812" s="7" t="s">
        <v>539</v>
      </c>
      <c r="D812" s="7" t="s">
        <v>26</v>
      </c>
      <c r="E812" s="7" t="s">
        <v>111</v>
      </c>
      <c r="F812" s="7" t="s">
        <v>49</v>
      </c>
      <c r="G812" s="7">
        <v>1</v>
      </c>
      <c r="H812" s="8">
        <v>76.22</v>
      </c>
      <c r="I812" s="9">
        <v>0</v>
      </c>
      <c r="J812" s="8">
        <v>76.22</v>
      </c>
      <c r="K812" s="8">
        <v>27.62</v>
      </c>
      <c r="L812" s="10" t="s">
        <v>23</v>
      </c>
    </row>
    <row r="813" spans="1:12" x14ac:dyDescent="0.3">
      <c r="A813" s="5" t="s">
        <v>1472</v>
      </c>
      <c r="B813" s="6">
        <v>45559</v>
      </c>
      <c r="C813" s="7" t="s">
        <v>1473</v>
      </c>
      <c r="D813" s="7" t="s">
        <v>20</v>
      </c>
      <c r="E813" s="7" t="s">
        <v>43</v>
      </c>
      <c r="F813" s="7" t="s">
        <v>22</v>
      </c>
      <c r="G813" s="7">
        <v>1</v>
      </c>
      <c r="H813" s="8">
        <v>48.13</v>
      </c>
      <c r="I813" s="9">
        <v>25</v>
      </c>
      <c r="J813" s="8">
        <v>36.1</v>
      </c>
      <c r="K813" s="8">
        <v>14.88</v>
      </c>
      <c r="L813" s="10" t="s">
        <v>17</v>
      </c>
    </row>
    <row r="814" spans="1:12" x14ac:dyDescent="0.3">
      <c r="A814" s="5" t="s">
        <v>1474</v>
      </c>
      <c r="B814" s="6">
        <v>45801</v>
      </c>
      <c r="C814" s="7" t="s">
        <v>330</v>
      </c>
      <c r="D814" s="7" t="s">
        <v>37</v>
      </c>
      <c r="E814" s="7" t="s">
        <v>33</v>
      </c>
      <c r="F814" s="7" t="s">
        <v>16</v>
      </c>
      <c r="G814" s="7">
        <v>4</v>
      </c>
      <c r="H814" s="8">
        <v>113.66</v>
      </c>
      <c r="I814" s="9">
        <v>15</v>
      </c>
      <c r="J814" s="8">
        <v>386.44</v>
      </c>
      <c r="K814" s="8">
        <v>57.13</v>
      </c>
      <c r="L814" s="10" t="s">
        <v>17</v>
      </c>
    </row>
    <row r="815" spans="1:12" x14ac:dyDescent="0.3">
      <c r="A815" s="5" t="s">
        <v>1475</v>
      </c>
      <c r="B815" s="6">
        <v>45542</v>
      </c>
      <c r="C815" s="7" t="s">
        <v>1476</v>
      </c>
      <c r="D815" s="7" t="s">
        <v>42</v>
      </c>
      <c r="E815" s="7" t="s">
        <v>108</v>
      </c>
      <c r="F815" s="7" t="s">
        <v>75</v>
      </c>
      <c r="G815" s="7">
        <v>3</v>
      </c>
      <c r="H815" s="8">
        <v>46.25</v>
      </c>
      <c r="I815" s="9">
        <v>15</v>
      </c>
      <c r="J815" s="8">
        <v>117.94</v>
      </c>
      <c r="K815" s="8">
        <v>25.91</v>
      </c>
      <c r="L815" s="10" t="s">
        <v>17</v>
      </c>
    </row>
    <row r="816" spans="1:12" x14ac:dyDescent="0.3">
      <c r="A816" s="5" t="s">
        <v>1477</v>
      </c>
      <c r="B816" s="6">
        <v>45470</v>
      </c>
      <c r="C816" s="7" t="s">
        <v>1478</v>
      </c>
      <c r="D816" s="7" t="s">
        <v>42</v>
      </c>
      <c r="E816" s="7" t="s">
        <v>27</v>
      </c>
      <c r="F816" s="7" t="s">
        <v>22</v>
      </c>
      <c r="G816" s="7">
        <v>1</v>
      </c>
      <c r="H816" s="8">
        <v>40.83</v>
      </c>
      <c r="I816" s="9">
        <v>10</v>
      </c>
      <c r="J816" s="8">
        <v>36.75</v>
      </c>
      <c r="K816" s="8">
        <v>20.83</v>
      </c>
      <c r="L816" s="10" t="s">
        <v>17</v>
      </c>
    </row>
    <row r="817" spans="1:12" x14ac:dyDescent="0.3">
      <c r="A817" s="5" t="s">
        <v>1479</v>
      </c>
      <c r="B817" s="6">
        <v>45802</v>
      </c>
      <c r="C817" s="7" t="s">
        <v>577</v>
      </c>
      <c r="D817" s="7" t="s">
        <v>14</v>
      </c>
      <c r="E817" s="7" t="s">
        <v>61</v>
      </c>
      <c r="F817" s="7" t="s">
        <v>39</v>
      </c>
      <c r="G817" s="7">
        <v>1</v>
      </c>
      <c r="H817" s="8">
        <v>25.15</v>
      </c>
      <c r="I817" s="9">
        <v>5</v>
      </c>
      <c r="J817" s="8">
        <v>23.89</v>
      </c>
      <c r="K817" s="8">
        <v>9.3699999999999992</v>
      </c>
      <c r="L817" s="10" t="s">
        <v>17</v>
      </c>
    </row>
    <row r="818" spans="1:12" x14ac:dyDescent="0.3">
      <c r="A818" s="5" t="s">
        <v>1480</v>
      </c>
      <c r="B818" s="6">
        <v>45948</v>
      </c>
      <c r="C818" s="7" t="s">
        <v>1481</v>
      </c>
      <c r="D818" s="7" t="s">
        <v>20</v>
      </c>
      <c r="E818" s="7" t="s">
        <v>118</v>
      </c>
      <c r="F818" s="7" t="s">
        <v>49</v>
      </c>
      <c r="G818" s="7">
        <v>3</v>
      </c>
      <c r="H818" s="8">
        <v>80.78</v>
      </c>
      <c r="I818" s="9">
        <v>0</v>
      </c>
      <c r="J818" s="8">
        <v>242.34</v>
      </c>
      <c r="K818" s="8">
        <v>98.58</v>
      </c>
      <c r="L818" s="10" t="s">
        <v>17</v>
      </c>
    </row>
    <row r="819" spans="1:12" x14ac:dyDescent="0.3">
      <c r="A819" s="5" t="s">
        <v>1482</v>
      </c>
      <c r="B819" s="6">
        <v>45499</v>
      </c>
      <c r="C819" s="7" t="s">
        <v>822</v>
      </c>
      <c r="D819" s="7" t="s">
        <v>26</v>
      </c>
      <c r="E819" s="7" t="s">
        <v>324</v>
      </c>
      <c r="F819" s="7" t="s">
        <v>16</v>
      </c>
      <c r="G819" s="7">
        <v>3</v>
      </c>
      <c r="H819" s="8">
        <v>129.13999999999999</v>
      </c>
      <c r="I819" s="9">
        <v>10</v>
      </c>
      <c r="J819" s="8">
        <v>348.68</v>
      </c>
      <c r="K819" s="8">
        <v>52.01</v>
      </c>
      <c r="L819" s="10" t="s">
        <v>17</v>
      </c>
    </row>
    <row r="820" spans="1:12" x14ac:dyDescent="0.3">
      <c r="A820" s="5" t="s">
        <v>1483</v>
      </c>
      <c r="B820" s="6">
        <v>45776</v>
      </c>
      <c r="C820" s="7" t="s">
        <v>1473</v>
      </c>
      <c r="D820" s="7" t="s">
        <v>20</v>
      </c>
      <c r="E820" s="7" t="s">
        <v>246</v>
      </c>
      <c r="F820" s="7" t="s">
        <v>75</v>
      </c>
      <c r="G820" s="7">
        <v>1</v>
      </c>
      <c r="H820" s="8">
        <v>33.49</v>
      </c>
      <c r="I820" s="9">
        <v>15</v>
      </c>
      <c r="J820" s="8">
        <v>28.47</v>
      </c>
      <c r="K820" s="8">
        <v>7.09</v>
      </c>
      <c r="L820" s="10" t="s">
        <v>17</v>
      </c>
    </row>
    <row r="821" spans="1:12" x14ac:dyDescent="0.3">
      <c r="A821" s="5" t="s">
        <v>1484</v>
      </c>
      <c r="B821" s="6">
        <v>45401</v>
      </c>
      <c r="C821" s="7" t="s">
        <v>1485</v>
      </c>
      <c r="D821" s="7" t="s">
        <v>26</v>
      </c>
      <c r="E821" s="7" t="s">
        <v>151</v>
      </c>
      <c r="F821" s="7" t="s">
        <v>39</v>
      </c>
      <c r="G821" s="7">
        <v>1</v>
      </c>
      <c r="H821" s="8">
        <v>15.21</v>
      </c>
      <c r="I821" s="9">
        <v>10</v>
      </c>
      <c r="J821" s="8">
        <v>13.69</v>
      </c>
      <c r="K821" s="8">
        <v>5.17</v>
      </c>
      <c r="L821" s="10" t="s">
        <v>23</v>
      </c>
    </row>
    <row r="822" spans="1:12" x14ac:dyDescent="0.3">
      <c r="A822" s="5" t="s">
        <v>1486</v>
      </c>
      <c r="B822" s="6">
        <v>45791</v>
      </c>
      <c r="C822" s="7" t="s">
        <v>1487</v>
      </c>
      <c r="D822" s="7" t="s">
        <v>20</v>
      </c>
      <c r="E822" s="7" t="s">
        <v>502</v>
      </c>
      <c r="F822" s="7" t="s">
        <v>22</v>
      </c>
      <c r="G822" s="7">
        <v>1</v>
      </c>
      <c r="H822" s="8">
        <v>30.47</v>
      </c>
      <c r="I822" s="9">
        <v>10</v>
      </c>
      <c r="J822" s="8">
        <v>27.42</v>
      </c>
      <c r="K822" s="8">
        <v>12.65</v>
      </c>
      <c r="L822" s="10" t="s">
        <v>23</v>
      </c>
    </row>
    <row r="823" spans="1:12" x14ac:dyDescent="0.3">
      <c r="A823" s="5" t="s">
        <v>1488</v>
      </c>
      <c r="B823" s="6">
        <v>45629</v>
      </c>
      <c r="C823" s="7" t="s">
        <v>732</v>
      </c>
      <c r="D823" s="7" t="s">
        <v>14</v>
      </c>
      <c r="E823" s="7" t="s">
        <v>111</v>
      </c>
      <c r="F823" s="7" t="s">
        <v>49</v>
      </c>
      <c r="G823" s="7">
        <v>2</v>
      </c>
      <c r="H823" s="8">
        <v>20.9</v>
      </c>
      <c r="I823" s="9">
        <v>5</v>
      </c>
      <c r="J823" s="8">
        <v>39.71</v>
      </c>
      <c r="K823" s="8">
        <v>19.23</v>
      </c>
      <c r="L823" s="10" t="s">
        <v>23</v>
      </c>
    </row>
    <row r="824" spans="1:12" x14ac:dyDescent="0.3">
      <c r="A824" s="5" t="s">
        <v>1489</v>
      </c>
      <c r="B824" s="6">
        <v>45643</v>
      </c>
      <c r="C824" s="7" t="s">
        <v>1141</v>
      </c>
      <c r="D824" s="7" t="s">
        <v>20</v>
      </c>
      <c r="E824" s="7" t="s">
        <v>154</v>
      </c>
      <c r="F824" s="7" t="s">
        <v>39</v>
      </c>
      <c r="G824" s="7">
        <v>1</v>
      </c>
      <c r="H824" s="8">
        <v>17.149999999999999</v>
      </c>
      <c r="I824" s="9">
        <v>15</v>
      </c>
      <c r="J824" s="8">
        <v>14.58</v>
      </c>
      <c r="K824" s="8">
        <v>3.45</v>
      </c>
      <c r="L824" s="10" t="s">
        <v>23</v>
      </c>
    </row>
    <row r="825" spans="1:12" x14ac:dyDescent="0.3">
      <c r="A825" s="5" t="s">
        <v>1490</v>
      </c>
      <c r="B825" s="6">
        <v>45791</v>
      </c>
      <c r="C825" s="7" t="s">
        <v>1032</v>
      </c>
      <c r="D825" s="7" t="s">
        <v>26</v>
      </c>
      <c r="E825" s="7" t="s">
        <v>211</v>
      </c>
      <c r="F825" s="7" t="s">
        <v>39</v>
      </c>
      <c r="G825" s="7">
        <v>1</v>
      </c>
      <c r="H825" s="8">
        <v>41.59</v>
      </c>
      <c r="I825" s="9">
        <v>10</v>
      </c>
      <c r="J825" s="8">
        <v>37.43</v>
      </c>
      <c r="K825" s="8">
        <v>8.86</v>
      </c>
      <c r="L825" s="10" t="s">
        <v>34</v>
      </c>
    </row>
    <row r="826" spans="1:12" x14ac:dyDescent="0.3">
      <c r="A826" s="5" t="s">
        <v>1491</v>
      </c>
      <c r="B826" s="6">
        <v>45345</v>
      </c>
      <c r="C826" s="7" t="s">
        <v>1492</v>
      </c>
      <c r="D826" s="7" t="s">
        <v>37</v>
      </c>
      <c r="E826" s="7" t="s">
        <v>61</v>
      </c>
      <c r="F826" s="7" t="s">
        <v>39</v>
      </c>
      <c r="G826" s="7">
        <v>2</v>
      </c>
      <c r="H826" s="8">
        <v>53.1</v>
      </c>
      <c r="I826" s="9">
        <v>15</v>
      </c>
      <c r="J826" s="8">
        <v>90.27</v>
      </c>
      <c r="K826" s="8">
        <v>22.72</v>
      </c>
      <c r="L826" s="10" t="s">
        <v>17</v>
      </c>
    </row>
    <row r="827" spans="1:12" x14ac:dyDescent="0.3">
      <c r="A827" s="5" t="s">
        <v>1493</v>
      </c>
      <c r="B827" s="6">
        <v>45336</v>
      </c>
      <c r="C827" s="7" t="s">
        <v>1494</v>
      </c>
      <c r="D827" s="7" t="s">
        <v>20</v>
      </c>
      <c r="E827" s="7" t="s">
        <v>460</v>
      </c>
      <c r="F827" s="7" t="s">
        <v>75</v>
      </c>
      <c r="G827" s="7">
        <v>1</v>
      </c>
      <c r="H827" s="8">
        <v>31.11</v>
      </c>
      <c r="I827" s="9">
        <v>0</v>
      </c>
      <c r="J827" s="8">
        <v>31.11</v>
      </c>
      <c r="K827" s="8">
        <v>5.95</v>
      </c>
      <c r="L827" s="10" t="s">
        <v>23</v>
      </c>
    </row>
    <row r="828" spans="1:12" x14ac:dyDescent="0.3">
      <c r="A828" s="5" t="s">
        <v>1495</v>
      </c>
      <c r="B828" s="6">
        <v>45410</v>
      </c>
      <c r="C828" s="7" t="s">
        <v>1085</v>
      </c>
      <c r="D828" s="7" t="s">
        <v>42</v>
      </c>
      <c r="E828" s="7" t="s">
        <v>222</v>
      </c>
      <c r="F828" s="7" t="s">
        <v>22</v>
      </c>
      <c r="G828" s="7">
        <v>1</v>
      </c>
      <c r="H828" s="8">
        <v>24.73</v>
      </c>
      <c r="I828" s="9">
        <v>15</v>
      </c>
      <c r="J828" s="8">
        <v>21.02</v>
      </c>
      <c r="K828" s="8">
        <v>12.63</v>
      </c>
      <c r="L828" s="10" t="s">
        <v>23</v>
      </c>
    </row>
    <row r="829" spans="1:12" x14ac:dyDescent="0.3">
      <c r="A829" s="5" t="s">
        <v>1496</v>
      </c>
      <c r="B829" s="6">
        <v>45916</v>
      </c>
      <c r="C829" s="7" t="s">
        <v>618</v>
      </c>
      <c r="D829" s="7" t="s">
        <v>37</v>
      </c>
      <c r="E829" s="7" t="s">
        <v>286</v>
      </c>
      <c r="F829" s="7" t="s">
        <v>39</v>
      </c>
      <c r="G829" s="7">
        <v>1</v>
      </c>
      <c r="H829" s="8">
        <v>79.739999999999995</v>
      </c>
      <c r="I829" s="9">
        <v>0</v>
      </c>
      <c r="J829" s="8">
        <v>79.739999999999995</v>
      </c>
      <c r="K829" s="8">
        <v>30.2</v>
      </c>
      <c r="L829" s="10" t="s">
        <v>34</v>
      </c>
    </row>
    <row r="830" spans="1:12" x14ac:dyDescent="0.3">
      <c r="A830" s="5" t="s">
        <v>1497</v>
      </c>
      <c r="B830" s="6">
        <v>45889</v>
      </c>
      <c r="C830" s="7" t="s">
        <v>1498</v>
      </c>
      <c r="D830" s="7" t="s">
        <v>42</v>
      </c>
      <c r="E830" s="7" t="s">
        <v>314</v>
      </c>
      <c r="F830" s="7" t="s">
        <v>16</v>
      </c>
      <c r="G830" s="7">
        <v>2</v>
      </c>
      <c r="H830" s="8">
        <v>77.72</v>
      </c>
      <c r="I830" s="9">
        <v>0</v>
      </c>
      <c r="J830" s="8">
        <v>155.44</v>
      </c>
      <c r="K830" s="8">
        <v>15.17</v>
      </c>
      <c r="L830" s="10" t="s">
        <v>23</v>
      </c>
    </row>
    <row r="831" spans="1:12" x14ac:dyDescent="0.3">
      <c r="A831" s="5" t="s">
        <v>1499</v>
      </c>
      <c r="B831" s="6">
        <v>45343</v>
      </c>
      <c r="C831" s="7" t="s">
        <v>87</v>
      </c>
      <c r="D831" s="7" t="s">
        <v>26</v>
      </c>
      <c r="E831" s="7" t="s">
        <v>309</v>
      </c>
      <c r="F831" s="7" t="s">
        <v>75</v>
      </c>
      <c r="G831" s="7">
        <v>1</v>
      </c>
      <c r="H831" s="8">
        <v>36.47</v>
      </c>
      <c r="I831" s="9">
        <v>0</v>
      </c>
      <c r="J831" s="8">
        <v>36.47</v>
      </c>
      <c r="K831" s="8">
        <v>10.06</v>
      </c>
      <c r="L831" s="10" t="s">
        <v>17</v>
      </c>
    </row>
    <row r="832" spans="1:12" x14ac:dyDescent="0.3">
      <c r="A832" s="5" t="s">
        <v>1500</v>
      </c>
      <c r="B832" s="6">
        <v>45639</v>
      </c>
      <c r="C832" s="7" t="s">
        <v>79</v>
      </c>
      <c r="D832" s="7" t="s">
        <v>14</v>
      </c>
      <c r="E832" s="7" t="s">
        <v>460</v>
      </c>
      <c r="F832" s="7" t="s">
        <v>75</v>
      </c>
      <c r="G832" s="7">
        <v>2</v>
      </c>
      <c r="H832" s="8">
        <v>21.28</v>
      </c>
      <c r="I832" s="9">
        <v>20</v>
      </c>
      <c r="J832" s="8">
        <v>34.049999999999997</v>
      </c>
      <c r="K832" s="8">
        <v>7.93</v>
      </c>
      <c r="L832" s="10" t="s">
        <v>23</v>
      </c>
    </row>
    <row r="833" spans="1:12" x14ac:dyDescent="0.3">
      <c r="A833" s="5" t="s">
        <v>1501</v>
      </c>
      <c r="B833" s="6">
        <v>45618</v>
      </c>
      <c r="C833" s="7" t="s">
        <v>1303</v>
      </c>
      <c r="D833" s="7" t="s">
        <v>20</v>
      </c>
      <c r="E833" s="7" t="s">
        <v>43</v>
      </c>
      <c r="F833" s="7" t="s">
        <v>22</v>
      </c>
      <c r="G833" s="7">
        <v>2</v>
      </c>
      <c r="H833" s="8">
        <v>34.520000000000003</v>
      </c>
      <c r="I833" s="9">
        <v>25</v>
      </c>
      <c r="J833" s="8">
        <v>51.78</v>
      </c>
      <c r="K833" s="8">
        <v>26.93</v>
      </c>
      <c r="L833" s="10" t="s">
        <v>34</v>
      </c>
    </row>
    <row r="834" spans="1:12" x14ac:dyDescent="0.3">
      <c r="A834" s="5" t="s">
        <v>1502</v>
      </c>
      <c r="B834" s="6">
        <v>45759</v>
      </c>
      <c r="C834" s="7" t="s">
        <v>473</v>
      </c>
      <c r="D834" s="7" t="s">
        <v>42</v>
      </c>
      <c r="E834" s="7" t="s">
        <v>184</v>
      </c>
      <c r="F834" s="7" t="s">
        <v>49</v>
      </c>
      <c r="G834" s="7">
        <v>5</v>
      </c>
      <c r="H834" s="8">
        <v>28.02</v>
      </c>
      <c r="I834" s="9">
        <v>20</v>
      </c>
      <c r="J834" s="8">
        <v>112.08</v>
      </c>
      <c r="K834" s="8">
        <v>48.17</v>
      </c>
      <c r="L834" s="10" t="s">
        <v>17</v>
      </c>
    </row>
    <row r="835" spans="1:12" x14ac:dyDescent="0.3">
      <c r="A835" s="5" t="s">
        <v>1503</v>
      </c>
      <c r="B835" s="6">
        <v>45344</v>
      </c>
      <c r="C835" s="7" t="s">
        <v>1504</v>
      </c>
      <c r="D835" s="7" t="s">
        <v>20</v>
      </c>
      <c r="E835" s="7" t="s">
        <v>105</v>
      </c>
      <c r="F835" s="7" t="s">
        <v>39</v>
      </c>
      <c r="G835" s="7">
        <v>5</v>
      </c>
      <c r="H835" s="8">
        <v>56.28</v>
      </c>
      <c r="I835" s="9">
        <v>0</v>
      </c>
      <c r="J835" s="8">
        <v>281.39999999999998</v>
      </c>
      <c r="K835" s="8">
        <v>102.48</v>
      </c>
      <c r="L835" s="10" t="s">
        <v>23</v>
      </c>
    </row>
    <row r="836" spans="1:12" x14ac:dyDescent="0.3">
      <c r="A836" s="5" t="s">
        <v>1505</v>
      </c>
      <c r="B836" s="6">
        <v>45381</v>
      </c>
      <c r="C836" s="7" t="s">
        <v>1098</v>
      </c>
      <c r="D836" s="7" t="s">
        <v>14</v>
      </c>
      <c r="E836" s="7" t="s">
        <v>136</v>
      </c>
      <c r="F836" s="7" t="s">
        <v>75</v>
      </c>
      <c r="G836" s="7">
        <v>1</v>
      </c>
      <c r="H836" s="8">
        <v>45.7</v>
      </c>
      <c r="I836" s="9">
        <v>5</v>
      </c>
      <c r="J836" s="8">
        <v>43.42</v>
      </c>
      <c r="K836" s="8">
        <v>9.51</v>
      </c>
      <c r="L836" s="10" t="s">
        <v>17</v>
      </c>
    </row>
    <row r="837" spans="1:12" x14ac:dyDescent="0.3">
      <c r="A837" s="5" t="s">
        <v>1506</v>
      </c>
      <c r="B837" s="6">
        <v>45350</v>
      </c>
      <c r="C837" s="7" t="s">
        <v>355</v>
      </c>
      <c r="D837" s="7" t="s">
        <v>37</v>
      </c>
      <c r="E837" s="7" t="s">
        <v>227</v>
      </c>
      <c r="F837" s="7" t="s">
        <v>39</v>
      </c>
      <c r="G837" s="7">
        <v>2</v>
      </c>
      <c r="H837" s="8">
        <v>36.21</v>
      </c>
      <c r="I837" s="9">
        <v>0</v>
      </c>
      <c r="J837" s="8">
        <v>72.42</v>
      </c>
      <c r="K837" s="8">
        <v>17.77</v>
      </c>
      <c r="L837" s="10" t="s">
        <v>17</v>
      </c>
    </row>
    <row r="838" spans="1:12" x14ac:dyDescent="0.3">
      <c r="A838" s="5" t="s">
        <v>1507</v>
      </c>
      <c r="B838" s="6">
        <v>45569</v>
      </c>
      <c r="C838" s="7" t="s">
        <v>336</v>
      </c>
      <c r="D838" s="7" t="s">
        <v>37</v>
      </c>
      <c r="E838" s="7" t="s">
        <v>141</v>
      </c>
      <c r="F838" s="7" t="s">
        <v>16</v>
      </c>
      <c r="G838" s="7">
        <v>1</v>
      </c>
      <c r="H838" s="8">
        <v>98.41</v>
      </c>
      <c r="I838" s="9">
        <v>15</v>
      </c>
      <c r="J838" s="8">
        <v>83.65</v>
      </c>
      <c r="K838" s="8">
        <v>13.75</v>
      </c>
      <c r="L838" s="10" t="s">
        <v>17</v>
      </c>
    </row>
    <row r="839" spans="1:12" x14ac:dyDescent="0.3">
      <c r="A839" s="5" t="s">
        <v>1508</v>
      </c>
      <c r="B839" s="6">
        <v>46008</v>
      </c>
      <c r="C839" s="7" t="s">
        <v>256</v>
      </c>
      <c r="D839" s="7" t="s">
        <v>26</v>
      </c>
      <c r="E839" s="7" t="s">
        <v>30</v>
      </c>
      <c r="F839" s="7" t="s">
        <v>16</v>
      </c>
      <c r="G839" s="7">
        <v>2</v>
      </c>
      <c r="H839" s="8">
        <v>145.76</v>
      </c>
      <c r="I839" s="9">
        <v>10</v>
      </c>
      <c r="J839" s="8">
        <v>262.37</v>
      </c>
      <c r="K839" s="8">
        <v>43.52</v>
      </c>
      <c r="L839" s="10" t="s">
        <v>23</v>
      </c>
    </row>
    <row r="840" spans="1:12" x14ac:dyDescent="0.3">
      <c r="A840" s="5" t="s">
        <v>1509</v>
      </c>
      <c r="B840" s="6">
        <v>46000</v>
      </c>
      <c r="C840" s="7" t="s">
        <v>1510</v>
      </c>
      <c r="D840" s="7" t="s">
        <v>26</v>
      </c>
      <c r="E840" s="7" t="s">
        <v>80</v>
      </c>
      <c r="F840" s="7" t="s">
        <v>16</v>
      </c>
      <c r="G840" s="7">
        <v>1</v>
      </c>
      <c r="H840" s="8">
        <v>67.05</v>
      </c>
      <c r="I840" s="9">
        <v>0</v>
      </c>
      <c r="J840" s="8">
        <v>67.05</v>
      </c>
      <c r="K840" s="8">
        <v>13.69</v>
      </c>
      <c r="L840" s="10" t="s">
        <v>17</v>
      </c>
    </row>
    <row r="841" spans="1:12" x14ac:dyDescent="0.3">
      <c r="A841" s="5" t="s">
        <v>1511</v>
      </c>
      <c r="B841" s="6">
        <v>45617</v>
      </c>
      <c r="C841" s="7" t="s">
        <v>288</v>
      </c>
      <c r="D841" s="7" t="s">
        <v>26</v>
      </c>
      <c r="E841" s="7" t="s">
        <v>556</v>
      </c>
      <c r="F841" s="7" t="s">
        <v>49</v>
      </c>
      <c r="G841" s="7">
        <v>4</v>
      </c>
      <c r="H841" s="8">
        <v>84.26</v>
      </c>
      <c r="I841" s="9">
        <v>10</v>
      </c>
      <c r="J841" s="8">
        <v>303.33999999999997</v>
      </c>
      <c r="K841" s="8">
        <v>129.85</v>
      </c>
      <c r="L841" s="10" t="s">
        <v>23</v>
      </c>
    </row>
    <row r="842" spans="1:12" x14ac:dyDescent="0.3">
      <c r="A842" s="5" t="s">
        <v>1512</v>
      </c>
      <c r="B842" s="6">
        <v>45959</v>
      </c>
      <c r="C842" s="7" t="s">
        <v>1513</v>
      </c>
      <c r="D842" s="7" t="s">
        <v>37</v>
      </c>
      <c r="E842" s="7" t="s">
        <v>309</v>
      </c>
      <c r="F842" s="7" t="s">
        <v>75</v>
      </c>
      <c r="G842" s="7">
        <v>4</v>
      </c>
      <c r="H842" s="8">
        <v>41.59</v>
      </c>
      <c r="I842" s="9">
        <v>20</v>
      </c>
      <c r="J842" s="8">
        <v>133.09</v>
      </c>
      <c r="K842" s="8">
        <v>32.380000000000003</v>
      </c>
      <c r="L842" s="10" t="s">
        <v>17</v>
      </c>
    </row>
    <row r="843" spans="1:12" x14ac:dyDescent="0.3">
      <c r="A843" s="5" t="s">
        <v>1514</v>
      </c>
      <c r="B843" s="6">
        <v>45825</v>
      </c>
      <c r="C843" s="7" t="s">
        <v>1515</v>
      </c>
      <c r="D843" s="7" t="s">
        <v>26</v>
      </c>
      <c r="E843" s="7" t="s">
        <v>48</v>
      </c>
      <c r="F843" s="7" t="s">
        <v>49</v>
      </c>
      <c r="G843" s="7">
        <v>1</v>
      </c>
      <c r="H843" s="8">
        <v>37.76</v>
      </c>
      <c r="I843" s="9">
        <v>0</v>
      </c>
      <c r="J843" s="8">
        <v>37.76</v>
      </c>
      <c r="K843" s="8">
        <v>15.02</v>
      </c>
      <c r="L843" s="10" t="s">
        <v>17</v>
      </c>
    </row>
    <row r="844" spans="1:12" x14ac:dyDescent="0.3">
      <c r="A844" s="5" t="s">
        <v>1516</v>
      </c>
      <c r="B844" s="6">
        <v>45969</v>
      </c>
      <c r="C844" s="7" t="s">
        <v>1517</v>
      </c>
      <c r="D844" s="7" t="s">
        <v>42</v>
      </c>
      <c r="E844" s="7" t="s">
        <v>83</v>
      </c>
      <c r="F844" s="7" t="s">
        <v>22</v>
      </c>
      <c r="G844" s="7">
        <v>2</v>
      </c>
      <c r="H844" s="8">
        <v>8.43</v>
      </c>
      <c r="I844" s="9">
        <v>20</v>
      </c>
      <c r="J844" s="8">
        <v>13.49</v>
      </c>
      <c r="K844" s="8">
        <v>8.34</v>
      </c>
      <c r="L844" s="10" t="s">
        <v>34</v>
      </c>
    </row>
    <row r="845" spans="1:12" x14ac:dyDescent="0.3">
      <c r="A845" s="5" t="s">
        <v>1518</v>
      </c>
      <c r="B845" s="6">
        <v>45566</v>
      </c>
      <c r="C845" s="7" t="s">
        <v>945</v>
      </c>
      <c r="D845" s="7" t="s">
        <v>26</v>
      </c>
      <c r="E845" s="7" t="s">
        <v>21</v>
      </c>
      <c r="F845" s="7" t="s">
        <v>22</v>
      </c>
      <c r="G845" s="7">
        <v>1</v>
      </c>
      <c r="H845" s="8">
        <v>25.96</v>
      </c>
      <c r="I845" s="9">
        <v>0</v>
      </c>
      <c r="J845" s="8">
        <v>25.96</v>
      </c>
      <c r="K845" s="8">
        <v>15.97</v>
      </c>
      <c r="L845" s="10" t="s">
        <v>34</v>
      </c>
    </row>
    <row r="846" spans="1:12" x14ac:dyDescent="0.3">
      <c r="A846" s="5" t="s">
        <v>1519</v>
      </c>
      <c r="B846" s="6">
        <v>45634</v>
      </c>
      <c r="C846" s="7" t="s">
        <v>1520</v>
      </c>
      <c r="D846" s="7" t="s">
        <v>26</v>
      </c>
      <c r="E846" s="7" t="s">
        <v>43</v>
      </c>
      <c r="F846" s="7" t="s">
        <v>22</v>
      </c>
      <c r="G846" s="7">
        <v>1</v>
      </c>
      <c r="H846" s="8">
        <v>45.25</v>
      </c>
      <c r="I846" s="9">
        <v>10</v>
      </c>
      <c r="J846" s="8">
        <v>40.729999999999997</v>
      </c>
      <c r="K846" s="8">
        <v>17.760000000000002</v>
      </c>
      <c r="L846" s="10" t="s">
        <v>23</v>
      </c>
    </row>
    <row r="847" spans="1:12" x14ac:dyDescent="0.3">
      <c r="A847" s="5" t="s">
        <v>1521</v>
      </c>
      <c r="B847" s="6">
        <v>45827</v>
      </c>
      <c r="C847" s="7" t="s">
        <v>1370</v>
      </c>
      <c r="D847" s="7" t="s">
        <v>14</v>
      </c>
      <c r="E847" s="7" t="s">
        <v>154</v>
      </c>
      <c r="F847" s="7" t="s">
        <v>39</v>
      </c>
      <c r="G847" s="7">
        <v>3</v>
      </c>
      <c r="H847" s="8">
        <v>31.43</v>
      </c>
      <c r="I847" s="9">
        <v>20</v>
      </c>
      <c r="J847" s="8">
        <v>75.430000000000007</v>
      </c>
      <c r="K847" s="8">
        <v>26.74</v>
      </c>
      <c r="L847" s="10" t="s">
        <v>23</v>
      </c>
    </row>
    <row r="848" spans="1:12" x14ac:dyDescent="0.3">
      <c r="A848" s="5" t="s">
        <v>1522</v>
      </c>
      <c r="B848" s="6">
        <v>45974</v>
      </c>
      <c r="C848" s="7" t="s">
        <v>764</v>
      </c>
      <c r="D848" s="7" t="s">
        <v>20</v>
      </c>
      <c r="E848" s="7" t="s">
        <v>27</v>
      </c>
      <c r="F848" s="7" t="s">
        <v>22</v>
      </c>
      <c r="G848" s="7">
        <v>2</v>
      </c>
      <c r="H848" s="8">
        <v>42.12</v>
      </c>
      <c r="I848" s="9">
        <v>0</v>
      </c>
      <c r="J848" s="8">
        <v>84.24</v>
      </c>
      <c r="K848" s="8">
        <v>36.6</v>
      </c>
      <c r="L848" s="10" t="s">
        <v>17</v>
      </c>
    </row>
    <row r="849" spans="1:12" x14ac:dyDescent="0.3">
      <c r="A849" s="5" t="s">
        <v>1523</v>
      </c>
      <c r="B849" s="6">
        <v>45987</v>
      </c>
      <c r="C849" s="7" t="s">
        <v>1524</v>
      </c>
      <c r="D849" s="7" t="s">
        <v>20</v>
      </c>
      <c r="E849" s="7" t="s">
        <v>43</v>
      </c>
      <c r="F849" s="7" t="s">
        <v>22</v>
      </c>
      <c r="G849" s="7">
        <v>1</v>
      </c>
      <c r="H849" s="8">
        <v>15.92</v>
      </c>
      <c r="I849" s="9">
        <v>10</v>
      </c>
      <c r="J849" s="8">
        <v>14.33</v>
      </c>
      <c r="K849" s="8">
        <v>6.96</v>
      </c>
      <c r="L849" s="10" t="s">
        <v>17</v>
      </c>
    </row>
    <row r="850" spans="1:12" x14ac:dyDescent="0.3">
      <c r="A850" s="5" t="s">
        <v>1525</v>
      </c>
      <c r="B850" s="6">
        <v>45788</v>
      </c>
      <c r="C850" s="7" t="s">
        <v>588</v>
      </c>
      <c r="D850" s="7" t="s">
        <v>14</v>
      </c>
      <c r="E850" s="7" t="s">
        <v>21</v>
      </c>
      <c r="F850" s="7" t="s">
        <v>22</v>
      </c>
      <c r="G850" s="7">
        <v>2</v>
      </c>
      <c r="H850" s="8">
        <v>29.89</v>
      </c>
      <c r="I850" s="9">
        <v>0</v>
      </c>
      <c r="J850" s="8">
        <v>59.78</v>
      </c>
      <c r="K850" s="8">
        <v>30.14</v>
      </c>
      <c r="L850" s="10" t="s">
        <v>17</v>
      </c>
    </row>
    <row r="851" spans="1:12" x14ac:dyDescent="0.3">
      <c r="A851" s="5" t="s">
        <v>1526</v>
      </c>
      <c r="B851" s="6">
        <v>45863</v>
      </c>
      <c r="C851" s="7" t="s">
        <v>429</v>
      </c>
      <c r="D851" s="7" t="s">
        <v>14</v>
      </c>
      <c r="E851" s="7" t="s">
        <v>187</v>
      </c>
      <c r="F851" s="7" t="s">
        <v>75</v>
      </c>
      <c r="G851" s="7">
        <v>1</v>
      </c>
      <c r="H851" s="8">
        <v>30.13</v>
      </c>
      <c r="I851" s="9">
        <v>10</v>
      </c>
      <c r="J851" s="8">
        <v>27.12</v>
      </c>
      <c r="K851" s="8">
        <v>9.3699999999999992</v>
      </c>
      <c r="L851" s="10" t="s">
        <v>17</v>
      </c>
    </row>
    <row r="852" spans="1:12" x14ac:dyDescent="0.3">
      <c r="A852" s="5" t="s">
        <v>1527</v>
      </c>
      <c r="B852" s="6">
        <v>45830</v>
      </c>
      <c r="C852" s="7" t="s">
        <v>1528</v>
      </c>
      <c r="D852" s="7" t="s">
        <v>37</v>
      </c>
      <c r="E852" s="7" t="s">
        <v>141</v>
      </c>
      <c r="F852" s="7" t="s">
        <v>16</v>
      </c>
      <c r="G852" s="7">
        <v>3</v>
      </c>
      <c r="H852" s="8">
        <v>94.51</v>
      </c>
      <c r="I852" s="9">
        <v>15</v>
      </c>
      <c r="J852" s="8">
        <v>241</v>
      </c>
      <c r="K852" s="8">
        <v>49.09</v>
      </c>
      <c r="L852" s="10" t="s">
        <v>17</v>
      </c>
    </row>
    <row r="853" spans="1:12" x14ac:dyDescent="0.3">
      <c r="A853" s="5" t="s">
        <v>1529</v>
      </c>
      <c r="B853" s="6">
        <v>45686</v>
      </c>
      <c r="C853" s="7" t="s">
        <v>1530</v>
      </c>
      <c r="D853" s="7" t="s">
        <v>14</v>
      </c>
      <c r="E853" s="7" t="s">
        <v>111</v>
      </c>
      <c r="F853" s="7" t="s">
        <v>49</v>
      </c>
      <c r="G853" s="7">
        <v>2</v>
      </c>
      <c r="H853" s="8">
        <v>45.63</v>
      </c>
      <c r="I853" s="9">
        <v>0</v>
      </c>
      <c r="J853" s="8">
        <v>91.26</v>
      </c>
      <c r="K853" s="8">
        <v>33.31</v>
      </c>
      <c r="L853" s="10" t="s">
        <v>34</v>
      </c>
    </row>
    <row r="854" spans="1:12" x14ac:dyDescent="0.3">
      <c r="A854" s="5" t="s">
        <v>1531</v>
      </c>
      <c r="B854" s="6">
        <v>46016</v>
      </c>
      <c r="C854" s="7" t="s">
        <v>1532</v>
      </c>
      <c r="D854" s="7" t="s">
        <v>20</v>
      </c>
      <c r="E854" s="7" t="s">
        <v>21</v>
      </c>
      <c r="F854" s="7" t="s">
        <v>22</v>
      </c>
      <c r="G854" s="7">
        <v>3</v>
      </c>
      <c r="H854" s="8">
        <v>11.33</v>
      </c>
      <c r="I854" s="9">
        <v>5</v>
      </c>
      <c r="J854" s="8">
        <v>32.29</v>
      </c>
      <c r="K854" s="8">
        <v>16.54</v>
      </c>
      <c r="L854" s="10" t="s">
        <v>17</v>
      </c>
    </row>
    <row r="855" spans="1:12" x14ac:dyDescent="0.3">
      <c r="A855" s="5" t="s">
        <v>1533</v>
      </c>
      <c r="B855" s="6">
        <v>45515</v>
      </c>
      <c r="C855" s="7" t="s">
        <v>1534</v>
      </c>
      <c r="D855" s="7" t="s">
        <v>42</v>
      </c>
      <c r="E855" s="7" t="s">
        <v>48</v>
      </c>
      <c r="F855" s="7" t="s">
        <v>49</v>
      </c>
      <c r="G855" s="7">
        <v>1</v>
      </c>
      <c r="H855" s="8">
        <v>47.82</v>
      </c>
      <c r="I855" s="9">
        <v>20</v>
      </c>
      <c r="J855" s="8">
        <v>38.26</v>
      </c>
      <c r="K855" s="8">
        <v>12.34</v>
      </c>
      <c r="L855" s="10" t="s">
        <v>34</v>
      </c>
    </row>
    <row r="856" spans="1:12" x14ac:dyDescent="0.3">
      <c r="A856" s="5" t="s">
        <v>1535</v>
      </c>
      <c r="B856" s="6">
        <v>45775</v>
      </c>
      <c r="C856" s="7" t="s">
        <v>1536</v>
      </c>
      <c r="D856" s="7" t="s">
        <v>26</v>
      </c>
      <c r="E856" s="7" t="s">
        <v>33</v>
      </c>
      <c r="F856" s="7" t="s">
        <v>16</v>
      </c>
      <c r="G856" s="7">
        <v>1</v>
      </c>
      <c r="H856" s="8">
        <v>85.01</v>
      </c>
      <c r="I856" s="9">
        <v>10</v>
      </c>
      <c r="J856" s="8">
        <v>76.510000000000005</v>
      </c>
      <c r="K856" s="8">
        <v>6.61</v>
      </c>
      <c r="L856" s="10" t="s">
        <v>23</v>
      </c>
    </row>
    <row r="857" spans="1:12" x14ac:dyDescent="0.3">
      <c r="A857" s="5" t="s">
        <v>1537</v>
      </c>
      <c r="B857" s="6">
        <v>45874</v>
      </c>
      <c r="C857" s="7" t="s">
        <v>1538</v>
      </c>
      <c r="D857" s="7" t="s">
        <v>42</v>
      </c>
      <c r="E857" s="7" t="s">
        <v>108</v>
      </c>
      <c r="F857" s="7" t="s">
        <v>75</v>
      </c>
      <c r="G857" s="7">
        <v>1</v>
      </c>
      <c r="H857" s="8">
        <v>48.05</v>
      </c>
      <c r="I857" s="9">
        <v>5</v>
      </c>
      <c r="J857" s="8">
        <v>45.65</v>
      </c>
      <c r="K857" s="8">
        <v>15.89</v>
      </c>
      <c r="L857" s="10" t="s">
        <v>23</v>
      </c>
    </row>
    <row r="858" spans="1:12" x14ac:dyDescent="0.3">
      <c r="A858" s="5" t="s">
        <v>1539</v>
      </c>
      <c r="B858" s="6">
        <v>45943</v>
      </c>
      <c r="C858" s="7" t="s">
        <v>1540</v>
      </c>
      <c r="D858" s="7" t="s">
        <v>37</v>
      </c>
      <c r="E858" s="7" t="s">
        <v>105</v>
      </c>
      <c r="F858" s="7" t="s">
        <v>39</v>
      </c>
      <c r="G858" s="7">
        <v>1</v>
      </c>
      <c r="H858" s="8">
        <v>16.079999999999998</v>
      </c>
      <c r="I858" s="9">
        <v>0</v>
      </c>
      <c r="J858" s="8">
        <v>16.079999999999998</v>
      </c>
      <c r="K858" s="8">
        <v>6.21</v>
      </c>
      <c r="L858" s="10" t="s">
        <v>17</v>
      </c>
    </row>
    <row r="859" spans="1:12" x14ac:dyDescent="0.3">
      <c r="A859" s="5" t="s">
        <v>1541</v>
      </c>
      <c r="B859" s="6">
        <v>45535</v>
      </c>
      <c r="C859" s="7" t="s">
        <v>1542</v>
      </c>
      <c r="D859" s="7" t="s">
        <v>14</v>
      </c>
      <c r="E859" s="7" t="s">
        <v>151</v>
      </c>
      <c r="F859" s="7" t="s">
        <v>39</v>
      </c>
      <c r="G859" s="7">
        <v>1</v>
      </c>
      <c r="H859" s="8">
        <v>40.950000000000003</v>
      </c>
      <c r="I859" s="9">
        <v>0</v>
      </c>
      <c r="J859" s="8">
        <v>40.950000000000003</v>
      </c>
      <c r="K859" s="8">
        <v>10.32</v>
      </c>
      <c r="L859" s="10" t="s">
        <v>17</v>
      </c>
    </row>
    <row r="860" spans="1:12" x14ac:dyDescent="0.3">
      <c r="A860" s="5" t="s">
        <v>1543</v>
      </c>
      <c r="B860" s="6">
        <v>45553</v>
      </c>
      <c r="C860" s="7" t="s">
        <v>1544</v>
      </c>
      <c r="D860" s="7" t="s">
        <v>26</v>
      </c>
      <c r="E860" s="7" t="s">
        <v>286</v>
      </c>
      <c r="F860" s="7" t="s">
        <v>39</v>
      </c>
      <c r="G860" s="7">
        <v>1</v>
      </c>
      <c r="H860" s="8">
        <v>31.03</v>
      </c>
      <c r="I860" s="9">
        <v>0</v>
      </c>
      <c r="J860" s="8">
        <v>31.03</v>
      </c>
      <c r="K860" s="8">
        <v>11.58</v>
      </c>
      <c r="L860" s="10" t="s">
        <v>23</v>
      </c>
    </row>
    <row r="861" spans="1:12" x14ac:dyDescent="0.3">
      <c r="A861" s="5" t="s">
        <v>1545</v>
      </c>
      <c r="B861" s="6">
        <v>45516</v>
      </c>
      <c r="C861" s="7" t="s">
        <v>447</v>
      </c>
      <c r="D861" s="7" t="s">
        <v>26</v>
      </c>
      <c r="E861" s="7" t="s">
        <v>227</v>
      </c>
      <c r="F861" s="7" t="s">
        <v>39</v>
      </c>
      <c r="G861" s="7">
        <v>4</v>
      </c>
      <c r="H861" s="8">
        <v>63.52</v>
      </c>
      <c r="I861" s="9">
        <v>0</v>
      </c>
      <c r="J861" s="8">
        <v>254.08</v>
      </c>
      <c r="K861" s="8">
        <v>82.86</v>
      </c>
      <c r="L861" s="10" t="s">
        <v>17</v>
      </c>
    </row>
    <row r="862" spans="1:12" x14ac:dyDescent="0.3">
      <c r="A862" s="5" t="s">
        <v>1546</v>
      </c>
      <c r="B862" s="6">
        <v>45767</v>
      </c>
      <c r="C862" s="7" t="s">
        <v>346</v>
      </c>
      <c r="D862" s="7" t="s">
        <v>14</v>
      </c>
      <c r="E862" s="7" t="s">
        <v>151</v>
      </c>
      <c r="F862" s="7" t="s">
        <v>39</v>
      </c>
      <c r="G862" s="7">
        <v>3</v>
      </c>
      <c r="H862" s="8">
        <v>71.64</v>
      </c>
      <c r="I862" s="9">
        <v>10</v>
      </c>
      <c r="J862" s="8">
        <v>193.43</v>
      </c>
      <c r="K862" s="8">
        <v>59.52</v>
      </c>
      <c r="L862" s="10" t="s">
        <v>17</v>
      </c>
    </row>
    <row r="863" spans="1:12" x14ac:dyDescent="0.3">
      <c r="A863" s="5" t="s">
        <v>1547</v>
      </c>
      <c r="B863" s="6">
        <v>45619</v>
      </c>
      <c r="C863" s="7" t="s">
        <v>1548</v>
      </c>
      <c r="D863" s="7" t="s">
        <v>42</v>
      </c>
      <c r="E863" s="7" t="s">
        <v>324</v>
      </c>
      <c r="F863" s="7" t="s">
        <v>16</v>
      </c>
      <c r="G863" s="7">
        <v>1</v>
      </c>
      <c r="H863" s="8">
        <v>147.01</v>
      </c>
      <c r="I863" s="9">
        <v>15</v>
      </c>
      <c r="J863" s="8">
        <v>124.96</v>
      </c>
      <c r="K863" s="8">
        <v>20.96</v>
      </c>
      <c r="L863" s="10" t="s">
        <v>17</v>
      </c>
    </row>
    <row r="864" spans="1:12" x14ac:dyDescent="0.3">
      <c r="A864" s="5" t="s">
        <v>1549</v>
      </c>
      <c r="B864" s="6">
        <v>46007</v>
      </c>
      <c r="C864" s="7" t="s">
        <v>419</v>
      </c>
      <c r="D864" s="7" t="s">
        <v>20</v>
      </c>
      <c r="E864" s="7" t="s">
        <v>69</v>
      </c>
      <c r="F864" s="7" t="s">
        <v>39</v>
      </c>
      <c r="G864" s="7">
        <v>1</v>
      </c>
      <c r="H864" s="8">
        <v>19.309999999999999</v>
      </c>
      <c r="I864" s="9">
        <v>25</v>
      </c>
      <c r="J864" s="8">
        <v>14.48</v>
      </c>
      <c r="K864" s="8">
        <v>4.08</v>
      </c>
      <c r="L864" s="10" t="s">
        <v>17</v>
      </c>
    </row>
    <row r="865" spans="1:12" x14ac:dyDescent="0.3">
      <c r="A865" s="5" t="s">
        <v>1550</v>
      </c>
      <c r="B865" s="6">
        <v>45448</v>
      </c>
      <c r="C865" s="7" t="s">
        <v>199</v>
      </c>
      <c r="D865" s="7" t="s">
        <v>37</v>
      </c>
      <c r="E865" s="7" t="s">
        <v>105</v>
      </c>
      <c r="F865" s="7" t="s">
        <v>39</v>
      </c>
      <c r="G865" s="7">
        <v>2</v>
      </c>
      <c r="H865" s="8">
        <v>48.41</v>
      </c>
      <c r="I865" s="9">
        <v>0</v>
      </c>
      <c r="J865" s="8">
        <v>96.82</v>
      </c>
      <c r="K865" s="8">
        <v>26.99</v>
      </c>
      <c r="L865" s="10" t="s">
        <v>34</v>
      </c>
    </row>
    <row r="866" spans="1:12" x14ac:dyDescent="0.3">
      <c r="A866" s="5" t="s">
        <v>1551</v>
      </c>
      <c r="B866" s="6">
        <v>45389</v>
      </c>
      <c r="C866" s="7" t="s">
        <v>1229</v>
      </c>
      <c r="D866" s="7" t="s">
        <v>14</v>
      </c>
      <c r="E866" s="7" t="s">
        <v>136</v>
      </c>
      <c r="F866" s="7" t="s">
        <v>75</v>
      </c>
      <c r="G866" s="7">
        <v>2</v>
      </c>
      <c r="H866" s="8">
        <v>28.26</v>
      </c>
      <c r="I866" s="9">
        <v>0</v>
      </c>
      <c r="J866" s="8">
        <v>56.52</v>
      </c>
      <c r="K866" s="8">
        <v>12.9</v>
      </c>
      <c r="L866" s="10" t="s">
        <v>17</v>
      </c>
    </row>
    <row r="867" spans="1:12" x14ac:dyDescent="0.3">
      <c r="A867" s="5" t="s">
        <v>1552</v>
      </c>
      <c r="B867" s="6">
        <v>46005</v>
      </c>
      <c r="C867" s="7" t="s">
        <v>1553</v>
      </c>
      <c r="D867" s="7" t="s">
        <v>14</v>
      </c>
      <c r="E867" s="7" t="s">
        <v>105</v>
      </c>
      <c r="F867" s="7" t="s">
        <v>39</v>
      </c>
      <c r="G867" s="7">
        <v>1</v>
      </c>
      <c r="H867" s="8">
        <v>51.75</v>
      </c>
      <c r="I867" s="9">
        <v>0</v>
      </c>
      <c r="J867" s="8">
        <v>51.75</v>
      </c>
      <c r="K867" s="8">
        <v>19.93</v>
      </c>
      <c r="L867" s="10" t="s">
        <v>17</v>
      </c>
    </row>
    <row r="868" spans="1:12" x14ac:dyDescent="0.3">
      <c r="A868" s="5" t="s">
        <v>1554</v>
      </c>
      <c r="B868" s="6">
        <v>45856</v>
      </c>
      <c r="C868" s="7" t="s">
        <v>1555</v>
      </c>
      <c r="D868" s="7" t="s">
        <v>37</v>
      </c>
      <c r="E868" s="7" t="s">
        <v>43</v>
      </c>
      <c r="F868" s="7" t="s">
        <v>22</v>
      </c>
      <c r="G868" s="7">
        <v>4</v>
      </c>
      <c r="H868" s="8">
        <v>38.869999999999997</v>
      </c>
      <c r="I868" s="9">
        <v>25</v>
      </c>
      <c r="J868" s="8">
        <v>116.61</v>
      </c>
      <c r="K868" s="8">
        <v>72.48</v>
      </c>
      <c r="L868" s="10" t="s">
        <v>17</v>
      </c>
    </row>
    <row r="869" spans="1:12" x14ac:dyDescent="0.3">
      <c r="A869" s="5" t="s">
        <v>1556</v>
      </c>
      <c r="B869" s="6">
        <v>45783</v>
      </c>
      <c r="C869" s="7" t="s">
        <v>1557</v>
      </c>
      <c r="D869" s="7" t="s">
        <v>26</v>
      </c>
      <c r="E869" s="7" t="s">
        <v>91</v>
      </c>
      <c r="F869" s="7" t="s">
        <v>49</v>
      </c>
      <c r="G869" s="7">
        <v>2</v>
      </c>
      <c r="H869" s="8">
        <v>47.59</v>
      </c>
      <c r="I869" s="9">
        <v>10</v>
      </c>
      <c r="J869" s="8">
        <v>85.66</v>
      </c>
      <c r="K869" s="8">
        <v>32.18</v>
      </c>
      <c r="L869" s="10" t="s">
        <v>17</v>
      </c>
    </row>
    <row r="870" spans="1:12" x14ac:dyDescent="0.3">
      <c r="A870" s="5" t="s">
        <v>1558</v>
      </c>
      <c r="B870" s="6">
        <v>45341</v>
      </c>
      <c r="C870" s="7" t="s">
        <v>584</v>
      </c>
      <c r="D870" s="7" t="s">
        <v>26</v>
      </c>
      <c r="E870" s="7" t="s">
        <v>61</v>
      </c>
      <c r="F870" s="7" t="s">
        <v>39</v>
      </c>
      <c r="G870" s="7">
        <v>1</v>
      </c>
      <c r="H870" s="8">
        <v>30.83</v>
      </c>
      <c r="I870" s="9">
        <v>10</v>
      </c>
      <c r="J870" s="8">
        <v>27.75</v>
      </c>
      <c r="K870" s="8">
        <v>6.76</v>
      </c>
      <c r="L870" s="10" t="s">
        <v>17</v>
      </c>
    </row>
    <row r="871" spans="1:12" x14ac:dyDescent="0.3">
      <c r="A871" s="5" t="s">
        <v>1559</v>
      </c>
      <c r="B871" s="6">
        <v>45969</v>
      </c>
      <c r="C871" s="7" t="s">
        <v>1553</v>
      </c>
      <c r="D871" s="7" t="s">
        <v>20</v>
      </c>
      <c r="E871" s="7" t="s">
        <v>222</v>
      </c>
      <c r="F871" s="7" t="s">
        <v>22</v>
      </c>
      <c r="G871" s="7">
        <v>3</v>
      </c>
      <c r="H871" s="8">
        <v>34.840000000000003</v>
      </c>
      <c r="I871" s="9">
        <v>15</v>
      </c>
      <c r="J871" s="8">
        <v>88.84</v>
      </c>
      <c r="K871" s="8">
        <v>52.05</v>
      </c>
      <c r="L871" s="10" t="s">
        <v>17</v>
      </c>
    </row>
    <row r="872" spans="1:12" x14ac:dyDescent="0.3">
      <c r="A872" s="5" t="s">
        <v>1560</v>
      </c>
      <c r="B872" s="6">
        <v>45987</v>
      </c>
      <c r="C872" s="7" t="s">
        <v>745</v>
      </c>
      <c r="D872" s="7" t="s">
        <v>14</v>
      </c>
      <c r="E872" s="7" t="s">
        <v>94</v>
      </c>
      <c r="F872" s="7" t="s">
        <v>75</v>
      </c>
      <c r="G872" s="7">
        <v>4</v>
      </c>
      <c r="H872" s="8">
        <v>57</v>
      </c>
      <c r="I872" s="9">
        <v>0</v>
      </c>
      <c r="J872" s="8">
        <v>228</v>
      </c>
      <c r="K872" s="8">
        <v>63.25</v>
      </c>
      <c r="L872" s="10" t="s">
        <v>17</v>
      </c>
    </row>
    <row r="873" spans="1:12" x14ac:dyDescent="0.3">
      <c r="A873" s="5" t="s">
        <v>1561</v>
      </c>
      <c r="B873" s="6">
        <v>45883</v>
      </c>
      <c r="C873" s="7" t="s">
        <v>1562</v>
      </c>
      <c r="D873" s="7" t="s">
        <v>37</v>
      </c>
      <c r="E873" s="7" t="s">
        <v>502</v>
      </c>
      <c r="F873" s="7" t="s">
        <v>22</v>
      </c>
      <c r="G873" s="7">
        <v>1</v>
      </c>
      <c r="H873" s="8">
        <v>30.72</v>
      </c>
      <c r="I873" s="9">
        <v>5</v>
      </c>
      <c r="J873" s="8">
        <v>29.18</v>
      </c>
      <c r="K873" s="8">
        <v>17.04</v>
      </c>
      <c r="L873" s="10" t="s">
        <v>23</v>
      </c>
    </row>
    <row r="874" spans="1:12" x14ac:dyDescent="0.3">
      <c r="A874" s="5" t="s">
        <v>1563</v>
      </c>
      <c r="B874" s="6">
        <v>45320</v>
      </c>
      <c r="C874" s="7" t="s">
        <v>1564</v>
      </c>
      <c r="D874" s="7" t="s">
        <v>42</v>
      </c>
      <c r="E874" s="7" t="s">
        <v>232</v>
      </c>
      <c r="F874" s="7" t="s">
        <v>22</v>
      </c>
      <c r="G874" s="7">
        <v>1</v>
      </c>
      <c r="H874" s="8">
        <v>26.28</v>
      </c>
      <c r="I874" s="9">
        <v>0</v>
      </c>
      <c r="J874" s="8">
        <v>26.28</v>
      </c>
      <c r="K874" s="8">
        <v>12.17</v>
      </c>
      <c r="L874" s="10" t="s">
        <v>23</v>
      </c>
    </row>
    <row r="875" spans="1:12" x14ac:dyDescent="0.3">
      <c r="A875" s="5" t="s">
        <v>1565</v>
      </c>
      <c r="B875" s="6">
        <v>45954</v>
      </c>
      <c r="C875" s="7" t="s">
        <v>82</v>
      </c>
      <c r="D875" s="7" t="s">
        <v>26</v>
      </c>
      <c r="E875" s="7" t="s">
        <v>38</v>
      </c>
      <c r="F875" s="7" t="s">
        <v>39</v>
      </c>
      <c r="G875" s="7">
        <v>2</v>
      </c>
      <c r="H875" s="8">
        <v>26.03</v>
      </c>
      <c r="I875" s="9">
        <v>0</v>
      </c>
      <c r="J875" s="8">
        <v>52.06</v>
      </c>
      <c r="K875" s="8">
        <v>12.1</v>
      </c>
      <c r="L875" s="10" t="s">
        <v>23</v>
      </c>
    </row>
    <row r="876" spans="1:12" x14ac:dyDescent="0.3">
      <c r="A876" s="5" t="s">
        <v>1566</v>
      </c>
      <c r="B876" s="6">
        <v>45637</v>
      </c>
      <c r="C876" s="7" t="s">
        <v>1567</v>
      </c>
      <c r="D876" s="7" t="s">
        <v>42</v>
      </c>
      <c r="E876" s="7" t="s">
        <v>133</v>
      </c>
      <c r="F876" s="7" t="s">
        <v>75</v>
      </c>
      <c r="G876" s="7">
        <v>2</v>
      </c>
      <c r="H876" s="8">
        <v>29.26</v>
      </c>
      <c r="I876" s="9">
        <v>5</v>
      </c>
      <c r="J876" s="8">
        <v>55.59</v>
      </c>
      <c r="K876" s="8">
        <v>16.04</v>
      </c>
      <c r="L876" s="10" t="s">
        <v>17</v>
      </c>
    </row>
    <row r="877" spans="1:12" x14ac:dyDescent="0.3">
      <c r="A877" s="5" t="s">
        <v>1568</v>
      </c>
      <c r="B877" s="6">
        <v>45544</v>
      </c>
      <c r="C877" s="7" t="s">
        <v>210</v>
      </c>
      <c r="D877" s="7" t="s">
        <v>14</v>
      </c>
      <c r="E877" s="7" t="s">
        <v>227</v>
      </c>
      <c r="F877" s="7" t="s">
        <v>39</v>
      </c>
      <c r="G877" s="7">
        <v>2</v>
      </c>
      <c r="H877" s="8">
        <v>36.26</v>
      </c>
      <c r="I877" s="9">
        <v>0</v>
      </c>
      <c r="J877" s="8">
        <v>72.52</v>
      </c>
      <c r="K877" s="8">
        <v>25.01</v>
      </c>
      <c r="L877" s="10" t="s">
        <v>23</v>
      </c>
    </row>
    <row r="878" spans="1:12" x14ac:dyDescent="0.3">
      <c r="A878" s="5" t="s">
        <v>1569</v>
      </c>
      <c r="B878" s="6">
        <v>45932</v>
      </c>
      <c r="C878" s="7" t="s">
        <v>1570</v>
      </c>
      <c r="D878" s="7" t="s">
        <v>37</v>
      </c>
      <c r="E878" s="7" t="s">
        <v>30</v>
      </c>
      <c r="F878" s="7" t="s">
        <v>16</v>
      </c>
      <c r="G878" s="7">
        <v>2</v>
      </c>
      <c r="H878" s="8">
        <v>99.93</v>
      </c>
      <c r="I878" s="9">
        <v>10</v>
      </c>
      <c r="J878" s="8">
        <v>179.87</v>
      </c>
      <c r="K878" s="8">
        <v>39.340000000000003</v>
      </c>
      <c r="L878" s="10" t="s">
        <v>23</v>
      </c>
    </row>
    <row r="879" spans="1:12" x14ac:dyDescent="0.3">
      <c r="A879" s="5" t="s">
        <v>1571</v>
      </c>
      <c r="B879" s="6">
        <v>45829</v>
      </c>
      <c r="C879" s="7" t="s">
        <v>552</v>
      </c>
      <c r="D879" s="7" t="s">
        <v>14</v>
      </c>
      <c r="E879" s="7" t="s">
        <v>21</v>
      </c>
      <c r="F879" s="7" t="s">
        <v>22</v>
      </c>
      <c r="G879" s="7">
        <v>3</v>
      </c>
      <c r="H879" s="8">
        <v>47.21</v>
      </c>
      <c r="I879" s="9">
        <v>10</v>
      </c>
      <c r="J879" s="8">
        <v>127.47</v>
      </c>
      <c r="K879" s="8">
        <v>71.66</v>
      </c>
      <c r="L879" s="10" t="s">
        <v>17</v>
      </c>
    </row>
    <row r="880" spans="1:12" x14ac:dyDescent="0.3">
      <c r="A880" s="5" t="s">
        <v>1572</v>
      </c>
      <c r="B880" s="6">
        <v>45343</v>
      </c>
      <c r="C880" s="7" t="s">
        <v>320</v>
      </c>
      <c r="D880" s="7" t="s">
        <v>42</v>
      </c>
      <c r="E880" s="7" t="s">
        <v>184</v>
      </c>
      <c r="F880" s="7" t="s">
        <v>49</v>
      </c>
      <c r="G880" s="7">
        <v>1</v>
      </c>
      <c r="H880" s="8">
        <v>84.93</v>
      </c>
      <c r="I880" s="9">
        <v>15</v>
      </c>
      <c r="J880" s="8">
        <v>72.19</v>
      </c>
      <c r="K880" s="8">
        <v>37.94</v>
      </c>
      <c r="L880" s="10" t="s">
        <v>23</v>
      </c>
    </row>
    <row r="881" spans="1:12" x14ac:dyDescent="0.3">
      <c r="A881" s="5" t="s">
        <v>1573</v>
      </c>
      <c r="B881" s="6">
        <v>45422</v>
      </c>
      <c r="C881" s="7" t="s">
        <v>670</v>
      </c>
      <c r="D881" s="7" t="s">
        <v>42</v>
      </c>
      <c r="E881" s="7" t="s">
        <v>154</v>
      </c>
      <c r="F881" s="7" t="s">
        <v>39</v>
      </c>
      <c r="G881" s="7">
        <v>2</v>
      </c>
      <c r="H881" s="8">
        <v>18.32</v>
      </c>
      <c r="I881" s="9">
        <v>25</v>
      </c>
      <c r="J881" s="8">
        <v>27.48</v>
      </c>
      <c r="K881" s="8">
        <v>6.24</v>
      </c>
      <c r="L881" s="10" t="s">
        <v>23</v>
      </c>
    </row>
    <row r="882" spans="1:12" x14ac:dyDescent="0.3">
      <c r="A882" s="5" t="s">
        <v>1574</v>
      </c>
      <c r="B882" s="6">
        <v>45506</v>
      </c>
      <c r="C882" s="7" t="s">
        <v>1575</v>
      </c>
      <c r="D882" s="7" t="s">
        <v>42</v>
      </c>
      <c r="E882" s="7" t="s">
        <v>232</v>
      </c>
      <c r="F882" s="7" t="s">
        <v>22</v>
      </c>
      <c r="G882" s="7">
        <v>3</v>
      </c>
      <c r="H882" s="8">
        <v>12.27</v>
      </c>
      <c r="I882" s="9">
        <v>0</v>
      </c>
      <c r="J882" s="8">
        <v>36.81</v>
      </c>
      <c r="K882" s="8">
        <v>20.04</v>
      </c>
      <c r="L882" s="10" t="s">
        <v>17</v>
      </c>
    </row>
    <row r="883" spans="1:12" x14ac:dyDescent="0.3">
      <c r="A883" s="5" t="s">
        <v>1576</v>
      </c>
      <c r="B883" s="6">
        <v>45645</v>
      </c>
      <c r="C883" s="7" t="s">
        <v>590</v>
      </c>
      <c r="D883" s="7" t="s">
        <v>20</v>
      </c>
      <c r="E883" s="7" t="s">
        <v>211</v>
      </c>
      <c r="F883" s="7" t="s">
        <v>39</v>
      </c>
      <c r="G883" s="7">
        <v>2</v>
      </c>
      <c r="H883" s="8">
        <v>15.53</v>
      </c>
      <c r="I883" s="9">
        <v>25</v>
      </c>
      <c r="J883" s="8">
        <v>23.3</v>
      </c>
      <c r="K883" s="8">
        <v>6.91</v>
      </c>
      <c r="L883" s="10" t="s">
        <v>17</v>
      </c>
    </row>
    <row r="884" spans="1:12" x14ac:dyDescent="0.3">
      <c r="A884" s="5" t="s">
        <v>1577</v>
      </c>
      <c r="B884" s="6">
        <v>45771</v>
      </c>
      <c r="C884" s="7" t="s">
        <v>1578</v>
      </c>
      <c r="D884" s="7" t="s">
        <v>20</v>
      </c>
      <c r="E884" s="7" t="s">
        <v>314</v>
      </c>
      <c r="F884" s="7" t="s">
        <v>16</v>
      </c>
      <c r="G884" s="7">
        <v>5</v>
      </c>
      <c r="H884" s="8">
        <v>88.62</v>
      </c>
      <c r="I884" s="9">
        <v>5</v>
      </c>
      <c r="J884" s="8">
        <v>420.95</v>
      </c>
      <c r="K884" s="8">
        <v>73.680000000000007</v>
      </c>
      <c r="L884" s="10" t="s">
        <v>23</v>
      </c>
    </row>
    <row r="885" spans="1:12" x14ac:dyDescent="0.3">
      <c r="A885" s="5" t="s">
        <v>1579</v>
      </c>
      <c r="B885" s="6">
        <v>45838</v>
      </c>
      <c r="C885" s="7" t="s">
        <v>1580</v>
      </c>
      <c r="D885" s="7" t="s">
        <v>14</v>
      </c>
      <c r="E885" s="7" t="s">
        <v>154</v>
      </c>
      <c r="F885" s="7" t="s">
        <v>39</v>
      </c>
      <c r="G885" s="7">
        <v>2</v>
      </c>
      <c r="H885" s="8">
        <v>14.11</v>
      </c>
      <c r="I885" s="9">
        <v>10</v>
      </c>
      <c r="J885" s="8">
        <v>25.4</v>
      </c>
      <c r="K885" s="8">
        <v>7.45</v>
      </c>
      <c r="L885" s="10" t="s">
        <v>23</v>
      </c>
    </row>
    <row r="886" spans="1:12" x14ac:dyDescent="0.3">
      <c r="A886" s="5" t="s">
        <v>1581</v>
      </c>
      <c r="B886" s="6">
        <v>45677</v>
      </c>
      <c r="C886" s="7" t="s">
        <v>1582</v>
      </c>
      <c r="D886" s="7" t="s">
        <v>14</v>
      </c>
      <c r="E886" s="7" t="s">
        <v>30</v>
      </c>
      <c r="F886" s="7" t="s">
        <v>16</v>
      </c>
      <c r="G886" s="7">
        <v>1</v>
      </c>
      <c r="H886" s="8">
        <v>125.09</v>
      </c>
      <c r="I886" s="9">
        <v>0</v>
      </c>
      <c r="J886" s="8">
        <v>125.09</v>
      </c>
      <c r="K886" s="8">
        <v>22.6</v>
      </c>
      <c r="L886" s="10" t="s">
        <v>23</v>
      </c>
    </row>
    <row r="887" spans="1:12" x14ac:dyDescent="0.3">
      <c r="A887" s="5" t="s">
        <v>1583</v>
      </c>
      <c r="B887" s="6">
        <v>45616</v>
      </c>
      <c r="C887" s="7" t="s">
        <v>1584</v>
      </c>
      <c r="D887" s="7" t="s">
        <v>14</v>
      </c>
      <c r="E887" s="7" t="s">
        <v>222</v>
      </c>
      <c r="F887" s="7" t="s">
        <v>22</v>
      </c>
      <c r="G887" s="7">
        <v>1</v>
      </c>
      <c r="H887" s="8">
        <v>12.31</v>
      </c>
      <c r="I887" s="9">
        <v>10</v>
      </c>
      <c r="J887" s="8">
        <v>11.08</v>
      </c>
      <c r="K887" s="8">
        <v>4.68</v>
      </c>
      <c r="L887" s="10" t="s">
        <v>34</v>
      </c>
    </row>
    <row r="888" spans="1:12" x14ac:dyDescent="0.3">
      <c r="A888" s="5" t="s">
        <v>1585</v>
      </c>
      <c r="B888" s="6">
        <v>45423</v>
      </c>
      <c r="C888" s="7" t="s">
        <v>584</v>
      </c>
      <c r="D888" s="7" t="s">
        <v>20</v>
      </c>
      <c r="E888" s="7" t="s">
        <v>184</v>
      </c>
      <c r="F888" s="7" t="s">
        <v>49</v>
      </c>
      <c r="G888" s="7">
        <v>4</v>
      </c>
      <c r="H888" s="8">
        <v>85.61</v>
      </c>
      <c r="I888" s="9">
        <v>0</v>
      </c>
      <c r="J888" s="8">
        <v>342.44</v>
      </c>
      <c r="K888" s="8">
        <v>166.62</v>
      </c>
      <c r="L888" s="10" t="s">
        <v>17</v>
      </c>
    </row>
    <row r="889" spans="1:12" x14ac:dyDescent="0.3">
      <c r="A889" s="5" t="s">
        <v>1586</v>
      </c>
      <c r="B889" s="6">
        <v>45834</v>
      </c>
      <c r="C889" s="7" t="s">
        <v>1587</v>
      </c>
      <c r="D889" s="7" t="s">
        <v>20</v>
      </c>
      <c r="E889" s="7" t="s">
        <v>91</v>
      </c>
      <c r="F889" s="7" t="s">
        <v>49</v>
      </c>
      <c r="G889" s="7">
        <v>2</v>
      </c>
      <c r="H889" s="8">
        <v>36.92</v>
      </c>
      <c r="I889" s="9">
        <v>10</v>
      </c>
      <c r="J889" s="8">
        <v>66.459999999999994</v>
      </c>
      <c r="K889" s="8">
        <v>30.99</v>
      </c>
      <c r="L889" s="10" t="s">
        <v>23</v>
      </c>
    </row>
    <row r="890" spans="1:12" x14ac:dyDescent="0.3">
      <c r="A890" s="5" t="s">
        <v>1588</v>
      </c>
      <c r="B890" s="6">
        <v>46000</v>
      </c>
      <c r="C890" s="7" t="s">
        <v>1589</v>
      </c>
      <c r="D890" s="7" t="s">
        <v>20</v>
      </c>
      <c r="E890" s="7" t="s">
        <v>222</v>
      </c>
      <c r="F890" s="7" t="s">
        <v>22</v>
      </c>
      <c r="G890" s="7">
        <v>1</v>
      </c>
      <c r="H890" s="8">
        <v>10.56</v>
      </c>
      <c r="I890" s="9">
        <v>10</v>
      </c>
      <c r="J890" s="8">
        <v>9.5</v>
      </c>
      <c r="K890" s="8">
        <v>4.8499999999999996</v>
      </c>
      <c r="L890" s="10" t="s">
        <v>17</v>
      </c>
    </row>
    <row r="891" spans="1:12" x14ac:dyDescent="0.3">
      <c r="A891" s="5" t="s">
        <v>1590</v>
      </c>
      <c r="B891" s="6">
        <v>45456</v>
      </c>
      <c r="C891" s="7" t="s">
        <v>1591</v>
      </c>
      <c r="D891" s="7" t="s">
        <v>26</v>
      </c>
      <c r="E891" s="7" t="s">
        <v>105</v>
      </c>
      <c r="F891" s="7" t="s">
        <v>39</v>
      </c>
      <c r="G891" s="7">
        <v>4</v>
      </c>
      <c r="H891" s="8">
        <v>59.7</v>
      </c>
      <c r="I891" s="9">
        <v>25</v>
      </c>
      <c r="J891" s="8">
        <v>179.1</v>
      </c>
      <c r="K891" s="8">
        <v>60.4</v>
      </c>
      <c r="L891" s="10" t="s">
        <v>17</v>
      </c>
    </row>
    <row r="892" spans="1:12" x14ac:dyDescent="0.3">
      <c r="A892" s="5" t="s">
        <v>1592</v>
      </c>
      <c r="B892" s="6">
        <v>45756</v>
      </c>
      <c r="C892" s="7" t="s">
        <v>1593</v>
      </c>
      <c r="D892" s="7" t="s">
        <v>20</v>
      </c>
      <c r="E892" s="7" t="s">
        <v>324</v>
      </c>
      <c r="F892" s="7" t="s">
        <v>16</v>
      </c>
      <c r="G892" s="7">
        <v>1</v>
      </c>
      <c r="H892" s="8">
        <v>117.29</v>
      </c>
      <c r="I892" s="9">
        <v>10</v>
      </c>
      <c r="J892" s="8">
        <v>105.56</v>
      </c>
      <c r="K892" s="8">
        <v>25.07</v>
      </c>
      <c r="L892" s="10" t="s">
        <v>17</v>
      </c>
    </row>
    <row r="893" spans="1:12" x14ac:dyDescent="0.3">
      <c r="A893" s="5" t="s">
        <v>1594</v>
      </c>
      <c r="B893" s="6">
        <v>45593</v>
      </c>
      <c r="C893" s="7" t="s">
        <v>1595</v>
      </c>
      <c r="D893" s="7" t="s">
        <v>37</v>
      </c>
      <c r="E893" s="7" t="s">
        <v>177</v>
      </c>
      <c r="F893" s="7" t="s">
        <v>49</v>
      </c>
      <c r="G893" s="7">
        <v>1</v>
      </c>
      <c r="H893" s="8">
        <v>57.81</v>
      </c>
      <c r="I893" s="9">
        <v>5</v>
      </c>
      <c r="J893" s="8">
        <v>54.92</v>
      </c>
      <c r="K893" s="8">
        <v>20.77</v>
      </c>
      <c r="L893" s="10" t="s">
        <v>17</v>
      </c>
    </row>
    <row r="894" spans="1:12" x14ac:dyDescent="0.3">
      <c r="A894" s="5" t="s">
        <v>1596</v>
      </c>
      <c r="B894" s="6">
        <v>45516</v>
      </c>
      <c r="C894" s="7" t="s">
        <v>1158</v>
      </c>
      <c r="D894" s="7" t="s">
        <v>20</v>
      </c>
      <c r="E894" s="7" t="s">
        <v>38</v>
      </c>
      <c r="F894" s="7" t="s">
        <v>39</v>
      </c>
      <c r="G894" s="7">
        <v>2</v>
      </c>
      <c r="H894" s="8">
        <v>75.569999999999993</v>
      </c>
      <c r="I894" s="9">
        <v>10</v>
      </c>
      <c r="J894" s="8">
        <v>136.03</v>
      </c>
      <c r="K894" s="8">
        <v>30.43</v>
      </c>
      <c r="L894" s="10" t="s">
        <v>17</v>
      </c>
    </row>
    <row r="895" spans="1:12" x14ac:dyDescent="0.3">
      <c r="A895" s="5" t="s">
        <v>1597</v>
      </c>
      <c r="B895" s="6">
        <v>45990</v>
      </c>
      <c r="C895" s="7" t="s">
        <v>285</v>
      </c>
      <c r="D895" s="7" t="s">
        <v>26</v>
      </c>
      <c r="E895" s="7" t="s">
        <v>253</v>
      </c>
      <c r="F895" s="7" t="s">
        <v>49</v>
      </c>
      <c r="G895" s="7">
        <v>2</v>
      </c>
      <c r="H895" s="8">
        <v>48.93</v>
      </c>
      <c r="I895" s="9">
        <v>25</v>
      </c>
      <c r="J895" s="8">
        <v>73.400000000000006</v>
      </c>
      <c r="K895" s="8">
        <v>28.94</v>
      </c>
      <c r="L895" s="10" t="s">
        <v>23</v>
      </c>
    </row>
    <row r="896" spans="1:12" x14ac:dyDescent="0.3">
      <c r="A896" s="5" t="s">
        <v>1598</v>
      </c>
      <c r="B896" s="6">
        <v>45518</v>
      </c>
      <c r="C896" s="7" t="s">
        <v>425</v>
      </c>
      <c r="D896" s="7" t="s">
        <v>26</v>
      </c>
      <c r="E896" s="7" t="s">
        <v>232</v>
      </c>
      <c r="F896" s="7" t="s">
        <v>22</v>
      </c>
      <c r="G896" s="7">
        <v>2</v>
      </c>
      <c r="H896" s="8">
        <v>22.99</v>
      </c>
      <c r="I896" s="9">
        <v>5</v>
      </c>
      <c r="J896" s="8">
        <v>43.68</v>
      </c>
      <c r="K896" s="8">
        <v>27.9</v>
      </c>
      <c r="L896" s="10" t="s">
        <v>17</v>
      </c>
    </row>
    <row r="897" spans="1:12" x14ac:dyDescent="0.3">
      <c r="A897" s="5" t="s">
        <v>1599</v>
      </c>
      <c r="B897" s="6">
        <v>46015</v>
      </c>
      <c r="C897" s="7" t="s">
        <v>1461</v>
      </c>
      <c r="D897" s="7" t="s">
        <v>20</v>
      </c>
      <c r="E897" s="7" t="s">
        <v>556</v>
      </c>
      <c r="F897" s="7" t="s">
        <v>49</v>
      </c>
      <c r="G897" s="7">
        <v>1</v>
      </c>
      <c r="H897" s="8">
        <v>86.97</v>
      </c>
      <c r="I897" s="9">
        <v>0</v>
      </c>
      <c r="J897" s="8">
        <v>86.97</v>
      </c>
      <c r="K897" s="8">
        <v>40.98</v>
      </c>
      <c r="L897" s="10" t="s">
        <v>23</v>
      </c>
    </row>
    <row r="898" spans="1:12" x14ac:dyDescent="0.3">
      <c r="A898" s="5" t="s">
        <v>1600</v>
      </c>
      <c r="B898" s="6">
        <v>45296</v>
      </c>
      <c r="C898" s="7" t="s">
        <v>810</v>
      </c>
      <c r="D898" s="7" t="s">
        <v>26</v>
      </c>
      <c r="E898" s="7" t="s">
        <v>15</v>
      </c>
      <c r="F898" s="7" t="s">
        <v>16</v>
      </c>
      <c r="G898" s="7">
        <v>1</v>
      </c>
      <c r="H898" s="8">
        <v>148.13</v>
      </c>
      <c r="I898" s="9">
        <v>0</v>
      </c>
      <c r="J898" s="8">
        <v>148.13</v>
      </c>
      <c r="K898" s="8">
        <v>27.32</v>
      </c>
      <c r="L898" s="10" t="s">
        <v>17</v>
      </c>
    </row>
    <row r="899" spans="1:12" x14ac:dyDescent="0.3">
      <c r="A899" s="5" t="s">
        <v>1601</v>
      </c>
      <c r="B899" s="6">
        <v>45427</v>
      </c>
      <c r="C899" s="7" t="s">
        <v>1602</v>
      </c>
      <c r="D899" s="7" t="s">
        <v>14</v>
      </c>
      <c r="E899" s="7" t="s">
        <v>15</v>
      </c>
      <c r="F899" s="7" t="s">
        <v>16</v>
      </c>
      <c r="G899" s="7">
        <v>1</v>
      </c>
      <c r="H899" s="8">
        <v>146.01</v>
      </c>
      <c r="I899" s="9">
        <v>0</v>
      </c>
      <c r="J899" s="8">
        <v>146.01</v>
      </c>
      <c r="K899" s="8">
        <v>20.14</v>
      </c>
      <c r="L899" s="10" t="s">
        <v>17</v>
      </c>
    </row>
    <row r="900" spans="1:12" x14ac:dyDescent="0.3">
      <c r="A900" s="5" t="s">
        <v>1603</v>
      </c>
      <c r="B900" s="6">
        <v>45790</v>
      </c>
      <c r="C900" s="7" t="s">
        <v>704</v>
      </c>
      <c r="D900" s="7" t="s">
        <v>42</v>
      </c>
      <c r="E900" s="7" t="s">
        <v>286</v>
      </c>
      <c r="F900" s="7" t="s">
        <v>39</v>
      </c>
      <c r="G900" s="7">
        <v>2</v>
      </c>
      <c r="H900" s="8">
        <v>39.549999999999997</v>
      </c>
      <c r="I900" s="9">
        <v>5</v>
      </c>
      <c r="J900" s="8">
        <v>75.150000000000006</v>
      </c>
      <c r="K900" s="8">
        <v>20.29</v>
      </c>
      <c r="L900" s="10" t="s">
        <v>17</v>
      </c>
    </row>
    <row r="901" spans="1:12" x14ac:dyDescent="0.3">
      <c r="A901" s="5" t="s">
        <v>1604</v>
      </c>
      <c r="B901" s="6">
        <v>45682</v>
      </c>
      <c r="C901" s="7" t="s">
        <v>510</v>
      </c>
      <c r="D901" s="7" t="s">
        <v>20</v>
      </c>
      <c r="E901" s="7" t="s">
        <v>314</v>
      </c>
      <c r="F901" s="7" t="s">
        <v>16</v>
      </c>
      <c r="G901" s="7">
        <v>2</v>
      </c>
      <c r="H901" s="8">
        <v>137.69</v>
      </c>
      <c r="I901" s="9">
        <v>5</v>
      </c>
      <c r="J901" s="8">
        <v>261.61</v>
      </c>
      <c r="K901" s="8">
        <v>50.26</v>
      </c>
      <c r="L901" s="10" t="s">
        <v>23</v>
      </c>
    </row>
    <row r="902" spans="1:12" x14ac:dyDescent="0.3">
      <c r="A902" s="5" t="s">
        <v>1605</v>
      </c>
      <c r="B902" s="6">
        <v>45897</v>
      </c>
      <c r="C902" s="7" t="s">
        <v>1606</v>
      </c>
      <c r="D902" s="7" t="s">
        <v>42</v>
      </c>
      <c r="E902" s="7" t="s">
        <v>208</v>
      </c>
      <c r="F902" s="7" t="s">
        <v>22</v>
      </c>
      <c r="G902" s="7">
        <v>1</v>
      </c>
      <c r="H902" s="8">
        <v>26.72</v>
      </c>
      <c r="I902" s="9">
        <v>0</v>
      </c>
      <c r="J902" s="8">
        <v>26.72</v>
      </c>
      <c r="K902" s="8">
        <v>16.86</v>
      </c>
      <c r="L902" s="10" t="s">
        <v>23</v>
      </c>
    </row>
    <row r="903" spans="1:12" x14ac:dyDescent="0.3">
      <c r="A903" s="5" t="s">
        <v>1607</v>
      </c>
      <c r="B903" s="6">
        <v>45710</v>
      </c>
      <c r="C903" s="7" t="s">
        <v>868</v>
      </c>
      <c r="D903" s="7" t="s">
        <v>20</v>
      </c>
      <c r="E903" s="7" t="s">
        <v>253</v>
      </c>
      <c r="F903" s="7" t="s">
        <v>49</v>
      </c>
      <c r="G903" s="7">
        <v>1</v>
      </c>
      <c r="H903" s="8">
        <v>44.4</v>
      </c>
      <c r="I903" s="9">
        <v>25</v>
      </c>
      <c r="J903" s="8">
        <v>33.299999999999997</v>
      </c>
      <c r="K903" s="8">
        <v>14.21</v>
      </c>
      <c r="L903" s="10" t="s">
        <v>34</v>
      </c>
    </row>
    <row r="904" spans="1:12" x14ac:dyDescent="0.3">
      <c r="A904" s="5" t="s">
        <v>1608</v>
      </c>
      <c r="B904" s="6">
        <v>45425</v>
      </c>
      <c r="C904" s="7" t="s">
        <v>1609</v>
      </c>
      <c r="D904" s="7" t="s">
        <v>20</v>
      </c>
      <c r="E904" s="7" t="s">
        <v>38</v>
      </c>
      <c r="F904" s="7" t="s">
        <v>39</v>
      </c>
      <c r="G904" s="7">
        <v>4</v>
      </c>
      <c r="H904" s="8">
        <v>55.37</v>
      </c>
      <c r="I904" s="9">
        <v>5</v>
      </c>
      <c r="J904" s="8">
        <v>210.41</v>
      </c>
      <c r="K904" s="8">
        <v>46.75</v>
      </c>
      <c r="L904" s="10" t="s">
        <v>34</v>
      </c>
    </row>
    <row r="905" spans="1:12" x14ac:dyDescent="0.3">
      <c r="A905" s="5" t="s">
        <v>1610</v>
      </c>
      <c r="B905" s="6">
        <v>45293</v>
      </c>
      <c r="C905" s="7" t="s">
        <v>773</v>
      </c>
      <c r="D905" s="7" t="s">
        <v>14</v>
      </c>
      <c r="E905" s="7" t="s">
        <v>291</v>
      </c>
      <c r="F905" s="7" t="s">
        <v>22</v>
      </c>
      <c r="G905" s="7">
        <v>1</v>
      </c>
      <c r="H905" s="8">
        <v>8.67</v>
      </c>
      <c r="I905" s="9">
        <v>0</v>
      </c>
      <c r="J905" s="8">
        <v>8.67</v>
      </c>
      <c r="K905" s="8">
        <v>3.91</v>
      </c>
      <c r="L905" s="10" t="s">
        <v>17</v>
      </c>
    </row>
    <row r="906" spans="1:12" x14ac:dyDescent="0.3">
      <c r="A906" s="5" t="s">
        <v>1611</v>
      </c>
      <c r="B906" s="6">
        <v>45915</v>
      </c>
      <c r="C906" s="7" t="s">
        <v>863</v>
      </c>
      <c r="D906" s="7" t="s">
        <v>20</v>
      </c>
      <c r="E906" s="7" t="s">
        <v>80</v>
      </c>
      <c r="F906" s="7" t="s">
        <v>16</v>
      </c>
      <c r="G906" s="7">
        <v>1</v>
      </c>
      <c r="H906" s="8">
        <v>56.73</v>
      </c>
      <c r="I906" s="9">
        <v>0</v>
      </c>
      <c r="J906" s="8">
        <v>56.73</v>
      </c>
      <c r="K906" s="8">
        <v>4.9800000000000004</v>
      </c>
      <c r="L906" s="10" t="s">
        <v>17</v>
      </c>
    </row>
    <row r="907" spans="1:12" x14ac:dyDescent="0.3">
      <c r="A907" s="5" t="s">
        <v>1612</v>
      </c>
      <c r="B907" s="6">
        <v>45889</v>
      </c>
      <c r="C907" s="7" t="s">
        <v>1613</v>
      </c>
      <c r="D907" s="7" t="s">
        <v>26</v>
      </c>
      <c r="E907" s="7" t="s">
        <v>38</v>
      </c>
      <c r="F907" s="7" t="s">
        <v>39</v>
      </c>
      <c r="G907" s="7">
        <v>2</v>
      </c>
      <c r="H907" s="8">
        <v>14.51</v>
      </c>
      <c r="I907" s="9">
        <v>0</v>
      </c>
      <c r="J907" s="8">
        <v>29.02</v>
      </c>
      <c r="K907" s="8">
        <v>10.83</v>
      </c>
      <c r="L907" s="10" t="s">
        <v>23</v>
      </c>
    </row>
    <row r="908" spans="1:12" x14ac:dyDescent="0.3">
      <c r="A908" s="5" t="s">
        <v>1614</v>
      </c>
      <c r="B908" s="6">
        <v>45513</v>
      </c>
      <c r="C908" s="7" t="s">
        <v>631</v>
      </c>
      <c r="D908" s="7" t="s">
        <v>42</v>
      </c>
      <c r="E908" s="7" t="s">
        <v>118</v>
      </c>
      <c r="F908" s="7" t="s">
        <v>49</v>
      </c>
      <c r="G908" s="7">
        <v>1</v>
      </c>
      <c r="H908" s="8">
        <v>56.18</v>
      </c>
      <c r="I908" s="9">
        <v>10</v>
      </c>
      <c r="J908" s="8">
        <v>50.56</v>
      </c>
      <c r="K908" s="8">
        <v>25.44</v>
      </c>
      <c r="L908" s="10" t="s">
        <v>17</v>
      </c>
    </row>
    <row r="909" spans="1:12" x14ac:dyDescent="0.3">
      <c r="A909" s="5" t="s">
        <v>1615</v>
      </c>
      <c r="B909" s="6">
        <v>45320</v>
      </c>
      <c r="C909" s="7" t="s">
        <v>1616</v>
      </c>
      <c r="D909" s="7" t="s">
        <v>26</v>
      </c>
      <c r="E909" s="7" t="s">
        <v>502</v>
      </c>
      <c r="F909" s="7" t="s">
        <v>22</v>
      </c>
      <c r="G909" s="7">
        <v>1</v>
      </c>
      <c r="H909" s="8">
        <v>31.59</v>
      </c>
      <c r="I909" s="9">
        <v>15</v>
      </c>
      <c r="J909" s="8">
        <v>26.85</v>
      </c>
      <c r="K909" s="8">
        <v>14.3</v>
      </c>
      <c r="L909" s="10" t="s">
        <v>17</v>
      </c>
    </row>
    <row r="910" spans="1:12" x14ac:dyDescent="0.3">
      <c r="A910" s="5" t="s">
        <v>1617</v>
      </c>
      <c r="B910" s="6">
        <v>45392</v>
      </c>
      <c r="C910" s="7" t="s">
        <v>892</v>
      </c>
      <c r="D910" s="7" t="s">
        <v>14</v>
      </c>
      <c r="E910" s="7" t="s">
        <v>211</v>
      </c>
      <c r="F910" s="7" t="s">
        <v>39</v>
      </c>
      <c r="G910" s="7">
        <v>4</v>
      </c>
      <c r="H910" s="8">
        <v>14.76</v>
      </c>
      <c r="I910" s="9">
        <v>5</v>
      </c>
      <c r="J910" s="8">
        <v>56.09</v>
      </c>
      <c r="K910" s="8">
        <v>14.23</v>
      </c>
      <c r="L910" s="10" t="s">
        <v>23</v>
      </c>
    </row>
    <row r="911" spans="1:12" x14ac:dyDescent="0.3">
      <c r="A911" s="5" t="s">
        <v>1618</v>
      </c>
      <c r="B911" s="6">
        <v>45981</v>
      </c>
      <c r="C911" s="7" t="s">
        <v>1619</v>
      </c>
      <c r="D911" s="7" t="s">
        <v>20</v>
      </c>
      <c r="E911" s="7" t="s">
        <v>177</v>
      </c>
      <c r="F911" s="7" t="s">
        <v>49</v>
      </c>
      <c r="G911" s="7">
        <v>2</v>
      </c>
      <c r="H911" s="8">
        <v>24.18</v>
      </c>
      <c r="I911" s="9">
        <v>0</v>
      </c>
      <c r="J911" s="8">
        <v>48.36</v>
      </c>
      <c r="K911" s="8">
        <v>24.2</v>
      </c>
      <c r="L911" s="10" t="s">
        <v>17</v>
      </c>
    </row>
    <row r="912" spans="1:12" x14ac:dyDescent="0.3">
      <c r="A912" s="5" t="s">
        <v>1620</v>
      </c>
      <c r="B912" s="6">
        <v>45970</v>
      </c>
      <c r="C912" s="7" t="s">
        <v>756</v>
      </c>
      <c r="D912" s="7" t="s">
        <v>37</v>
      </c>
      <c r="E912" s="7" t="s">
        <v>556</v>
      </c>
      <c r="F912" s="7" t="s">
        <v>49</v>
      </c>
      <c r="G912" s="7">
        <v>5</v>
      </c>
      <c r="H912" s="8">
        <v>39.28</v>
      </c>
      <c r="I912" s="9">
        <v>0</v>
      </c>
      <c r="J912" s="8">
        <v>196.4</v>
      </c>
      <c r="K912" s="8">
        <v>74.62</v>
      </c>
      <c r="L912" s="10" t="s">
        <v>17</v>
      </c>
    </row>
    <row r="913" spans="1:12" x14ac:dyDescent="0.3">
      <c r="A913" s="5" t="s">
        <v>1621</v>
      </c>
      <c r="B913" s="6">
        <v>45447</v>
      </c>
      <c r="C913" s="7" t="s">
        <v>1622</v>
      </c>
      <c r="D913" s="7" t="s">
        <v>42</v>
      </c>
      <c r="E913" s="7" t="s">
        <v>83</v>
      </c>
      <c r="F913" s="7" t="s">
        <v>22</v>
      </c>
      <c r="G913" s="7">
        <v>2</v>
      </c>
      <c r="H913" s="8">
        <v>47</v>
      </c>
      <c r="I913" s="9">
        <v>10</v>
      </c>
      <c r="J913" s="8">
        <v>84.6</v>
      </c>
      <c r="K913" s="8">
        <v>42.42</v>
      </c>
      <c r="L913" s="10" t="s">
        <v>23</v>
      </c>
    </row>
    <row r="914" spans="1:12" x14ac:dyDescent="0.3">
      <c r="A914" s="5" t="s">
        <v>1623</v>
      </c>
      <c r="B914" s="6">
        <v>45632</v>
      </c>
      <c r="C914" s="7" t="s">
        <v>1624</v>
      </c>
      <c r="D914" s="7" t="s">
        <v>20</v>
      </c>
      <c r="E914" s="7" t="s">
        <v>184</v>
      </c>
      <c r="F914" s="7" t="s">
        <v>49</v>
      </c>
      <c r="G914" s="7">
        <v>1</v>
      </c>
      <c r="H914" s="8">
        <v>59.95</v>
      </c>
      <c r="I914" s="9">
        <v>0</v>
      </c>
      <c r="J914" s="8">
        <v>59.95</v>
      </c>
      <c r="K914" s="8">
        <v>19.41</v>
      </c>
      <c r="L914" s="10" t="s">
        <v>17</v>
      </c>
    </row>
    <row r="915" spans="1:12" x14ac:dyDescent="0.3">
      <c r="A915" s="5" t="s">
        <v>1625</v>
      </c>
      <c r="B915" s="6">
        <v>45473</v>
      </c>
      <c r="C915" s="7" t="s">
        <v>492</v>
      </c>
      <c r="D915" s="7" t="s">
        <v>26</v>
      </c>
      <c r="E915" s="7" t="s">
        <v>30</v>
      </c>
      <c r="F915" s="7" t="s">
        <v>16</v>
      </c>
      <c r="G915" s="7">
        <v>1</v>
      </c>
      <c r="H915" s="8">
        <v>100.49</v>
      </c>
      <c r="I915" s="9">
        <v>5</v>
      </c>
      <c r="J915" s="8">
        <v>95.47</v>
      </c>
      <c r="K915" s="8">
        <v>20.98</v>
      </c>
      <c r="L915" s="10" t="s">
        <v>17</v>
      </c>
    </row>
    <row r="916" spans="1:12" x14ac:dyDescent="0.3">
      <c r="A916" s="5" t="s">
        <v>1626</v>
      </c>
      <c r="B916" s="6">
        <v>45744</v>
      </c>
      <c r="C916" s="7" t="s">
        <v>1570</v>
      </c>
      <c r="D916" s="7" t="s">
        <v>42</v>
      </c>
      <c r="E916" s="7" t="s">
        <v>33</v>
      </c>
      <c r="F916" s="7" t="s">
        <v>16</v>
      </c>
      <c r="G916" s="7">
        <v>1</v>
      </c>
      <c r="H916" s="8">
        <v>27.08</v>
      </c>
      <c r="I916" s="9">
        <v>10</v>
      </c>
      <c r="J916" s="8">
        <v>24.37</v>
      </c>
      <c r="K916" s="8">
        <v>4.58</v>
      </c>
      <c r="L916" s="10" t="s">
        <v>23</v>
      </c>
    </row>
    <row r="917" spans="1:12" x14ac:dyDescent="0.3">
      <c r="A917" s="5" t="s">
        <v>1627</v>
      </c>
      <c r="B917" s="6">
        <v>45742</v>
      </c>
      <c r="C917" s="7" t="s">
        <v>1628</v>
      </c>
      <c r="D917" s="7" t="s">
        <v>20</v>
      </c>
      <c r="E917" s="7" t="s">
        <v>52</v>
      </c>
      <c r="F917" s="7" t="s">
        <v>39</v>
      </c>
      <c r="G917" s="7">
        <v>2</v>
      </c>
      <c r="H917" s="8">
        <v>24.48</v>
      </c>
      <c r="I917" s="9">
        <v>10</v>
      </c>
      <c r="J917" s="8">
        <v>44.06</v>
      </c>
      <c r="K917" s="8">
        <v>12.67</v>
      </c>
      <c r="L917" s="10" t="s">
        <v>17</v>
      </c>
    </row>
    <row r="918" spans="1:12" x14ac:dyDescent="0.3">
      <c r="A918" s="5" t="s">
        <v>1629</v>
      </c>
      <c r="B918" s="6">
        <v>45976</v>
      </c>
      <c r="C918" s="7" t="s">
        <v>419</v>
      </c>
      <c r="D918" s="7" t="s">
        <v>42</v>
      </c>
      <c r="E918" s="7" t="s">
        <v>286</v>
      </c>
      <c r="F918" s="7" t="s">
        <v>39</v>
      </c>
      <c r="G918" s="7">
        <v>1</v>
      </c>
      <c r="H918" s="8">
        <v>18.829999999999998</v>
      </c>
      <c r="I918" s="9">
        <v>15</v>
      </c>
      <c r="J918" s="8">
        <v>16.010000000000002</v>
      </c>
      <c r="K918" s="8">
        <v>3.32</v>
      </c>
      <c r="L918" s="10" t="s">
        <v>23</v>
      </c>
    </row>
    <row r="919" spans="1:12" x14ac:dyDescent="0.3">
      <c r="A919" s="5" t="s">
        <v>1630</v>
      </c>
      <c r="B919" s="6">
        <v>45721</v>
      </c>
      <c r="C919" s="7" t="s">
        <v>905</v>
      </c>
      <c r="D919" s="7" t="s">
        <v>37</v>
      </c>
      <c r="E919" s="7" t="s">
        <v>154</v>
      </c>
      <c r="F919" s="7" t="s">
        <v>39</v>
      </c>
      <c r="G919" s="7">
        <v>2</v>
      </c>
      <c r="H919" s="8">
        <v>31.72</v>
      </c>
      <c r="I919" s="9">
        <v>0</v>
      </c>
      <c r="J919" s="8">
        <v>63.44</v>
      </c>
      <c r="K919" s="8">
        <v>13.19</v>
      </c>
      <c r="L919" s="10" t="s">
        <v>17</v>
      </c>
    </row>
    <row r="920" spans="1:12" x14ac:dyDescent="0.3">
      <c r="A920" s="5" t="s">
        <v>1631</v>
      </c>
      <c r="B920" s="6">
        <v>45456</v>
      </c>
      <c r="C920" s="7" t="s">
        <v>1632</v>
      </c>
      <c r="D920" s="7" t="s">
        <v>37</v>
      </c>
      <c r="E920" s="7" t="s">
        <v>69</v>
      </c>
      <c r="F920" s="7" t="s">
        <v>39</v>
      </c>
      <c r="G920" s="7">
        <v>1</v>
      </c>
      <c r="H920" s="8">
        <v>75.89</v>
      </c>
      <c r="I920" s="9">
        <v>0</v>
      </c>
      <c r="J920" s="8">
        <v>75.89</v>
      </c>
      <c r="K920" s="8">
        <v>17.57</v>
      </c>
      <c r="L920" s="10" t="s">
        <v>23</v>
      </c>
    </row>
    <row r="921" spans="1:12" x14ac:dyDescent="0.3">
      <c r="A921" s="5" t="s">
        <v>1633</v>
      </c>
      <c r="B921" s="6">
        <v>46020</v>
      </c>
      <c r="C921" s="7" t="s">
        <v>1245</v>
      </c>
      <c r="D921" s="7" t="s">
        <v>37</v>
      </c>
      <c r="E921" s="7" t="s">
        <v>15</v>
      </c>
      <c r="F921" s="7" t="s">
        <v>16</v>
      </c>
      <c r="G921" s="7">
        <v>2</v>
      </c>
      <c r="H921" s="8">
        <v>74.16</v>
      </c>
      <c r="I921" s="9">
        <v>5</v>
      </c>
      <c r="J921" s="8">
        <v>140.9</v>
      </c>
      <c r="K921" s="8">
        <v>27.9</v>
      </c>
      <c r="L921" s="10" t="s">
        <v>34</v>
      </c>
    </row>
    <row r="922" spans="1:12" x14ac:dyDescent="0.3">
      <c r="A922" s="5" t="s">
        <v>1634</v>
      </c>
      <c r="B922" s="6">
        <v>45805</v>
      </c>
      <c r="C922" s="7" t="s">
        <v>1635</v>
      </c>
      <c r="D922" s="7" t="s">
        <v>37</v>
      </c>
      <c r="E922" s="7" t="s">
        <v>222</v>
      </c>
      <c r="F922" s="7" t="s">
        <v>22</v>
      </c>
      <c r="G922" s="7">
        <v>1</v>
      </c>
      <c r="H922" s="8">
        <v>46.41</v>
      </c>
      <c r="I922" s="9">
        <v>15</v>
      </c>
      <c r="J922" s="8">
        <v>39.450000000000003</v>
      </c>
      <c r="K922" s="8">
        <v>22.39</v>
      </c>
      <c r="L922" s="10" t="s">
        <v>17</v>
      </c>
    </row>
    <row r="923" spans="1:12" x14ac:dyDescent="0.3">
      <c r="A923" s="5" t="s">
        <v>1636</v>
      </c>
      <c r="B923" s="6">
        <v>45514</v>
      </c>
      <c r="C923" s="7" t="s">
        <v>1637</v>
      </c>
      <c r="D923" s="7" t="s">
        <v>14</v>
      </c>
      <c r="E923" s="7" t="s">
        <v>151</v>
      </c>
      <c r="F923" s="7" t="s">
        <v>39</v>
      </c>
      <c r="G923" s="7">
        <v>1</v>
      </c>
      <c r="H923" s="8">
        <v>41.97</v>
      </c>
      <c r="I923" s="9">
        <v>0</v>
      </c>
      <c r="J923" s="8">
        <v>41.97</v>
      </c>
      <c r="K923" s="8">
        <v>13.93</v>
      </c>
      <c r="L923" s="10" t="s">
        <v>17</v>
      </c>
    </row>
    <row r="924" spans="1:12" x14ac:dyDescent="0.3">
      <c r="A924" s="5" t="s">
        <v>1638</v>
      </c>
      <c r="B924" s="6">
        <v>45390</v>
      </c>
      <c r="C924" s="7" t="s">
        <v>1639</v>
      </c>
      <c r="D924" s="7" t="s">
        <v>20</v>
      </c>
      <c r="E924" s="7" t="s">
        <v>80</v>
      </c>
      <c r="F924" s="7" t="s">
        <v>16</v>
      </c>
      <c r="G924" s="7">
        <v>2</v>
      </c>
      <c r="H924" s="8">
        <v>56.63</v>
      </c>
      <c r="I924" s="9">
        <v>20</v>
      </c>
      <c r="J924" s="8">
        <v>90.61</v>
      </c>
      <c r="K924" s="8">
        <v>17.149999999999999</v>
      </c>
      <c r="L924" s="10" t="s">
        <v>23</v>
      </c>
    </row>
    <row r="925" spans="1:12" x14ac:dyDescent="0.3">
      <c r="A925" s="5" t="s">
        <v>1640</v>
      </c>
      <c r="B925" s="6">
        <v>46000</v>
      </c>
      <c r="C925" s="7" t="s">
        <v>172</v>
      </c>
      <c r="D925" s="7" t="s">
        <v>20</v>
      </c>
      <c r="E925" s="7" t="s">
        <v>27</v>
      </c>
      <c r="F925" s="7" t="s">
        <v>22</v>
      </c>
      <c r="G925" s="7">
        <v>3</v>
      </c>
      <c r="H925" s="8">
        <v>23.9</v>
      </c>
      <c r="I925" s="9">
        <v>10</v>
      </c>
      <c r="J925" s="8">
        <v>64.53</v>
      </c>
      <c r="K925" s="8">
        <v>41.57</v>
      </c>
      <c r="L925" s="10" t="s">
        <v>17</v>
      </c>
    </row>
    <row r="926" spans="1:12" x14ac:dyDescent="0.3">
      <c r="A926" s="5" t="s">
        <v>1641</v>
      </c>
      <c r="B926" s="6">
        <v>45609</v>
      </c>
      <c r="C926" s="7" t="s">
        <v>1642</v>
      </c>
      <c r="D926" s="7" t="s">
        <v>37</v>
      </c>
      <c r="E926" s="7" t="s">
        <v>118</v>
      </c>
      <c r="F926" s="7" t="s">
        <v>49</v>
      </c>
      <c r="G926" s="7">
        <v>2</v>
      </c>
      <c r="H926" s="8">
        <v>63.15</v>
      </c>
      <c r="I926" s="9">
        <v>0</v>
      </c>
      <c r="J926" s="8">
        <v>126.3</v>
      </c>
      <c r="K926" s="8">
        <v>65.33</v>
      </c>
      <c r="L926" s="10" t="s">
        <v>17</v>
      </c>
    </row>
    <row r="927" spans="1:12" x14ac:dyDescent="0.3">
      <c r="A927" s="5" t="s">
        <v>1643</v>
      </c>
      <c r="B927" s="6">
        <v>45757</v>
      </c>
      <c r="C927" s="7" t="s">
        <v>435</v>
      </c>
      <c r="D927" s="7" t="s">
        <v>20</v>
      </c>
      <c r="E927" s="7" t="s">
        <v>187</v>
      </c>
      <c r="F927" s="7" t="s">
        <v>75</v>
      </c>
      <c r="G927" s="7">
        <v>1</v>
      </c>
      <c r="H927" s="8">
        <v>56.95</v>
      </c>
      <c r="I927" s="9">
        <v>0</v>
      </c>
      <c r="J927" s="8">
        <v>56.95</v>
      </c>
      <c r="K927" s="8">
        <v>10.48</v>
      </c>
      <c r="L927" s="10" t="s">
        <v>17</v>
      </c>
    </row>
    <row r="928" spans="1:12" x14ac:dyDescent="0.3">
      <c r="A928" s="5" t="s">
        <v>1644</v>
      </c>
      <c r="B928" s="6">
        <v>45476</v>
      </c>
      <c r="C928" s="7" t="s">
        <v>1080</v>
      </c>
      <c r="D928" s="7" t="s">
        <v>37</v>
      </c>
      <c r="E928" s="7" t="s">
        <v>69</v>
      </c>
      <c r="F928" s="7" t="s">
        <v>39</v>
      </c>
      <c r="G928" s="7">
        <v>5</v>
      </c>
      <c r="H928" s="8">
        <v>16.48</v>
      </c>
      <c r="I928" s="9">
        <v>5</v>
      </c>
      <c r="J928" s="8">
        <v>78.28</v>
      </c>
      <c r="K928" s="8">
        <v>19.61</v>
      </c>
      <c r="L928" s="10" t="s">
        <v>23</v>
      </c>
    </row>
    <row r="929" spans="1:12" x14ac:dyDescent="0.3">
      <c r="A929" s="5" t="s">
        <v>1645</v>
      </c>
      <c r="B929" s="6">
        <v>45880</v>
      </c>
      <c r="C929" s="7" t="s">
        <v>1646</v>
      </c>
      <c r="D929" s="7" t="s">
        <v>20</v>
      </c>
      <c r="E929" s="7" t="s">
        <v>291</v>
      </c>
      <c r="F929" s="7" t="s">
        <v>22</v>
      </c>
      <c r="G929" s="7">
        <v>1</v>
      </c>
      <c r="H929" s="8">
        <v>46.85</v>
      </c>
      <c r="I929" s="9">
        <v>0</v>
      </c>
      <c r="J929" s="8">
        <v>46.85</v>
      </c>
      <c r="K929" s="8">
        <v>19.309999999999999</v>
      </c>
      <c r="L929" s="10" t="s">
        <v>34</v>
      </c>
    </row>
    <row r="930" spans="1:12" x14ac:dyDescent="0.3">
      <c r="A930" s="5" t="s">
        <v>1647</v>
      </c>
      <c r="B930" s="6">
        <v>45603</v>
      </c>
      <c r="C930" s="7" t="s">
        <v>1648</v>
      </c>
      <c r="D930" s="7" t="s">
        <v>20</v>
      </c>
      <c r="E930" s="7" t="s">
        <v>184</v>
      </c>
      <c r="F930" s="7" t="s">
        <v>49</v>
      </c>
      <c r="G930" s="7">
        <v>2</v>
      </c>
      <c r="H930" s="8">
        <v>38.06</v>
      </c>
      <c r="I930" s="9">
        <v>0</v>
      </c>
      <c r="J930" s="8">
        <v>76.12</v>
      </c>
      <c r="K930" s="8">
        <v>33.340000000000003</v>
      </c>
      <c r="L930" s="10" t="s">
        <v>17</v>
      </c>
    </row>
    <row r="931" spans="1:12" x14ac:dyDescent="0.3">
      <c r="A931" s="5" t="s">
        <v>1649</v>
      </c>
      <c r="B931" s="6">
        <v>45473</v>
      </c>
      <c r="C931" s="7" t="s">
        <v>704</v>
      </c>
      <c r="D931" s="7" t="s">
        <v>20</v>
      </c>
      <c r="E931" s="7" t="s">
        <v>556</v>
      </c>
      <c r="F931" s="7" t="s">
        <v>49</v>
      </c>
      <c r="G931" s="7">
        <v>2</v>
      </c>
      <c r="H931" s="8">
        <v>88.54</v>
      </c>
      <c r="I931" s="9">
        <v>15</v>
      </c>
      <c r="J931" s="8">
        <v>150.52000000000001</v>
      </c>
      <c r="K931" s="8">
        <v>76.930000000000007</v>
      </c>
      <c r="L931" s="10" t="s">
        <v>23</v>
      </c>
    </row>
    <row r="932" spans="1:12" x14ac:dyDescent="0.3">
      <c r="A932" s="5" t="s">
        <v>1650</v>
      </c>
      <c r="B932" s="6">
        <v>45950</v>
      </c>
      <c r="C932" s="7" t="s">
        <v>1188</v>
      </c>
      <c r="D932" s="7" t="s">
        <v>37</v>
      </c>
      <c r="E932" s="7" t="s">
        <v>148</v>
      </c>
      <c r="F932" s="7" t="s">
        <v>16</v>
      </c>
      <c r="G932" s="7">
        <v>3</v>
      </c>
      <c r="H932" s="8">
        <v>125.39</v>
      </c>
      <c r="I932" s="9">
        <v>20</v>
      </c>
      <c r="J932" s="8">
        <v>300.94</v>
      </c>
      <c r="K932" s="8">
        <v>37.86</v>
      </c>
      <c r="L932" s="10" t="s">
        <v>17</v>
      </c>
    </row>
    <row r="933" spans="1:12" x14ac:dyDescent="0.3">
      <c r="A933" s="5" t="s">
        <v>1651</v>
      </c>
      <c r="B933" s="6">
        <v>46000</v>
      </c>
      <c r="C933" s="7" t="s">
        <v>1652</v>
      </c>
      <c r="D933" s="7" t="s">
        <v>37</v>
      </c>
      <c r="E933" s="7" t="s">
        <v>141</v>
      </c>
      <c r="F933" s="7" t="s">
        <v>16</v>
      </c>
      <c r="G933" s="7">
        <v>3</v>
      </c>
      <c r="H933" s="8">
        <v>34.75</v>
      </c>
      <c r="I933" s="9">
        <v>20</v>
      </c>
      <c r="J933" s="8">
        <v>83.4</v>
      </c>
      <c r="K933" s="8">
        <v>14.66</v>
      </c>
      <c r="L933" s="10" t="s">
        <v>17</v>
      </c>
    </row>
    <row r="934" spans="1:12" x14ac:dyDescent="0.3">
      <c r="A934" s="5" t="s">
        <v>1653</v>
      </c>
      <c r="B934" s="6">
        <v>45588</v>
      </c>
      <c r="C934" s="7" t="s">
        <v>1441</v>
      </c>
      <c r="D934" s="7" t="s">
        <v>26</v>
      </c>
      <c r="E934" s="7" t="s">
        <v>246</v>
      </c>
      <c r="F934" s="7" t="s">
        <v>75</v>
      </c>
      <c r="G934" s="7">
        <v>2</v>
      </c>
      <c r="H934" s="8">
        <v>20.71</v>
      </c>
      <c r="I934" s="9">
        <v>15</v>
      </c>
      <c r="J934" s="8">
        <v>35.21</v>
      </c>
      <c r="K934" s="8">
        <v>7.72</v>
      </c>
      <c r="L934" s="10" t="s">
        <v>23</v>
      </c>
    </row>
    <row r="935" spans="1:12" x14ac:dyDescent="0.3">
      <c r="A935" s="5" t="s">
        <v>1654</v>
      </c>
      <c r="B935" s="6">
        <v>45499</v>
      </c>
      <c r="C935" s="7" t="s">
        <v>1655</v>
      </c>
      <c r="D935" s="7" t="s">
        <v>42</v>
      </c>
      <c r="E935" s="7" t="s">
        <v>232</v>
      </c>
      <c r="F935" s="7" t="s">
        <v>22</v>
      </c>
      <c r="G935" s="7">
        <v>1</v>
      </c>
      <c r="H935" s="8">
        <v>7.57</v>
      </c>
      <c r="I935" s="9">
        <v>15</v>
      </c>
      <c r="J935" s="8">
        <v>6.43</v>
      </c>
      <c r="K935" s="8">
        <v>3.44</v>
      </c>
      <c r="L935" s="10" t="s">
        <v>23</v>
      </c>
    </row>
    <row r="936" spans="1:12" x14ac:dyDescent="0.3">
      <c r="A936" s="5" t="s">
        <v>1656</v>
      </c>
      <c r="B936" s="6">
        <v>45492</v>
      </c>
      <c r="C936" s="7" t="s">
        <v>1034</v>
      </c>
      <c r="D936" s="7" t="s">
        <v>26</v>
      </c>
      <c r="E936" s="7" t="s">
        <v>27</v>
      </c>
      <c r="F936" s="7" t="s">
        <v>22</v>
      </c>
      <c r="G936" s="7">
        <v>2</v>
      </c>
      <c r="H936" s="8">
        <v>31.62</v>
      </c>
      <c r="I936" s="9">
        <v>25</v>
      </c>
      <c r="J936" s="8">
        <v>47.43</v>
      </c>
      <c r="K936" s="8">
        <v>28.41</v>
      </c>
      <c r="L936" s="10" t="s">
        <v>23</v>
      </c>
    </row>
    <row r="937" spans="1:12" x14ac:dyDescent="0.3">
      <c r="A937" s="5" t="s">
        <v>1657</v>
      </c>
      <c r="B937" s="6">
        <v>45800</v>
      </c>
      <c r="C937" s="7" t="s">
        <v>1658</v>
      </c>
      <c r="D937" s="7" t="s">
        <v>26</v>
      </c>
      <c r="E937" s="7" t="s">
        <v>15</v>
      </c>
      <c r="F937" s="7" t="s">
        <v>16</v>
      </c>
      <c r="G937" s="7">
        <v>2</v>
      </c>
      <c r="H937" s="8">
        <v>106.47</v>
      </c>
      <c r="I937" s="9">
        <v>10</v>
      </c>
      <c r="J937" s="8">
        <v>191.65</v>
      </c>
      <c r="K937" s="8">
        <v>17.739999999999998</v>
      </c>
      <c r="L937" s="10" t="s">
        <v>17</v>
      </c>
    </row>
    <row r="938" spans="1:12" x14ac:dyDescent="0.3">
      <c r="A938" s="5" t="s">
        <v>1659</v>
      </c>
      <c r="B938" s="6">
        <v>45964</v>
      </c>
      <c r="C938" s="7" t="s">
        <v>949</v>
      </c>
      <c r="D938" s="7" t="s">
        <v>20</v>
      </c>
      <c r="E938" s="7" t="s">
        <v>314</v>
      </c>
      <c r="F938" s="7" t="s">
        <v>16</v>
      </c>
      <c r="G938" s="7">
        <v>3</v>
      </c>
      <c r="H938" s="8">
        <v>110.46</v>
      </c>
      <c r="I938" s="9">
        <v>0</v>
      </c>
      <c r="J938" s="8">
        <v>331.38</v>
      </c>
      <c r="K938" s="8">
        <v>65.77</v>
      </c>
      <c r="L938" s="10" t="s">
        <v>17</v>
      </c>
    </row>
    <row r="939" spans="1:12" x14ac:dyDescent="0.3">
      <c r="A939" s="5" t="s">
        <v>1660</v>
      </c>
      <c r="B939" s="6">
        <v>45381</v>
      </c>
      <c r="C939" s="7" t="s">
        <v>96</v>
      </c>
      <c r="D939" s="7" t="s">
        <v>14</v>
      </c>
      <c r="E939" s="7" t="s">
        <v>227</v>
      </c>
      <c r="F939" s="7" t="s">
        <v>39</v>
      </c>
      <c r="G939" s="7">
        <v>2</v>
      </c>
      <c r="H939" s="8">
        <v>59.81</v>
      </c>
      <c r="I939" s="9">
        <v>20</v>
      </c>
      <c r="J939" s="8">
        <v>95.7</v>
      </c>
      <c r="K939" s="8">
        <v>37.53</v>
      </c>
      <c r="L939" s="10" t="s">
        <v>34</v>
      </c>
    </row>
    <row r="940" spans="1:12" x14ac:dyDescent="0.3">
      <c r="A940" s="5" t="s">
        <v>1661</v>
      </c>
      <c r="B940" s="6">
        <v>45620</v>
      </c>
      <c r="C940" s="7" t="s">
        <v>1015</v>
      </c>
      <c r="D940" s="7" t="s">
        <v>42</v>
      </c>
      <c r="E940" s="7" t="s">
        <v>94</v>
      </c>
      <c r="F940" s="7" t="s">
        <v>75</v>
      </c>
      <c r="G940" s="7">
        <v>2</v>
      </c>
      <c r="H940" s="8">
        <v>9.2200000000000006</v>
      </c>
      <c r="I940" s="9">
        <v>5</v>
      </c>
      <c r="J940" s="8">
        <v>17.52</v>
      </c>
      <c r="K940" s="8">
        <v>5.32</v>
      </c>
      <c r="L940" s="10" t="s">
        <v>23</v>
      </c>
    </row>
    <row r="941" spans="1:12" x14ac:dyDescent="0.3">
      <c r="A941" s="5" t="s">
        <v>1662</v>
      </c>
      <c r="B941" s="6">
        <v>45434</v>
      </c>
      <c r="C941" s="7" t="s">
        <v>1663</v>
      </c>
      <c r="D941" s="7" t="s">
        <v>26</v>
      </c>
      <c r="E941" s="7" t="s">
        <v>246</v>
      </c>
      <c r="F941" s="7" t="s">
        <v>75</v>
      </c>
      <c r="G941" s="7">
        <v>3</v>
      </c>
      <c r="H941" s="8">
        <v>39.130000000000003</v>
      </c>
      <c r="I941" s="9">
        <v>5</v>
      </c>
      <c r="J941" s="8">
        <v>111.52</v>
      </c>
      <c r="K941" s="8">
        <v>27.38</v>
      </c>
      <c r="L941" s="10" t="s">
        <v>23</v>
      </c>
    </row>
    <row r="942" spans="1:12" x14ac:dyDescent="0.3">
      <c r="A942" s="5" t="s">
        <v>1664</v>
      </c>
      <c r="B942" s="6">
        <v>45402</v>
      </c>
      <c r="C942" s="7" t="s">
        <v>1665</v>
      </c>
      <c r="D942" s="7" t="s">
        <v>42</v>
      </c>
      <c r="E942" s="7" t="s">
        <v>184</v>
      </c>
      <c r="F942" s="7" t="s">
        <v>49</v>
      </c>
      <c r="G942" s="7">
        <v>2</v>
      </c>
      <c r="H942" s="8">
        <v>54.14</v>
      </c>
      <c r="I942" s="9">
        <v>0</v>
      </c>
      <c r="J942" s="8">
        <v>108.28</v>
      </c>
      <c r="K942" s="8">
        <v>43.23</v>
      </c>
      <c r="L942" s="10" t="s">
        <v>17</v>
      </c>
    </row>
    <row r="943" spans="1:12" x14ac:dyDescent="0.3">
      <c r="A943" s="5" t="s">
        <v>1666</v>
      </c>
      <c r="B943" s="6">
        <v>45450</v>
      </c>
      <c r="C943" s="7" t="s">
        <v>649</v>
      </c>
      <c r="D943" s="7" t="s">
        <v>37</v>
      </c>
      <c r="E943" s="7" t="s">
        <v>324</v>
      </c>
      <c r="F943" s="7" t="s">
        <v>16</v>
      </c>
      <c r="G943" s="7">
        <v>2</v>
      </c>
      <c r="H943" s="8">
        <v>86.54</v>
      </c>
      <c r="I943" s="9">
        <v>0</v>
      </c>
      <c r="J943" s="8">
        <v>173.08</v>
      </c>
      <c r="K943" s="8">
        <v>36.49</v>
      </c>
      <c r="L943" s="10" t="s">
        <v>17</v>
      </c>
    </row>
    <row r="944" spans="1:12" x14ac:dyDescent="0.3">
      <c r="A944" s="5" t="s">
        <v>1667</v>
      </c>
      <c r="B944" s="6">
        <v>45633</v>
      </c>
      <c r="C944" s="7" t="s">
        <v>1668</v>
      </c>
      <c r="D944" s="7" t="s">
        <v>20</v>
      </c>
      <c r="E944" s="7" t="s">
        <v>64</v>
      </c>
      <c r="F944" s="7" t="s">
        <v>16</v>
      </c>
      <c r="G944" s="7">
        <v>2</v>
      </c>
      <c r="H944" s="8">
        <v>29.6</v>
      </c>
      <c r="I944" s="9">
        <v>0</v>
      </c>
      <c r="J944" s="8">
        <v>59.2</v>
      </c>
      <c r="K944" s="8">
        <v>10.69</v>
      </c>
      <c r="L944" s="10" t="s">
        <v>17</v>
      </c>
    </row>
    <row r="945" spans="1:12" x14ac:dyDescent="0.3">
      <c r="A945" s="5" t="s">
        <v>1669</v>
      </c>
      <c r="B945" s="6">
        <v>45445</v>
      </c>
      <c r="C945" s="7" t="s">
        <v>1670</v>
      </c>
      <c r="D945" s="7" t="s">
        <v>20</v>
      </c>
      <c r="E945" s="7" t="s">
        <v>177</v>
      </c>
      <c r="F945" s="7" t="s">
        <v>49</v>
      </c>
      <c r="G945" s="7">
        <v>1</v>
      </c>
      <c r="H945" s="8">
        <v>67.5</v>
      </c>
      <c r="I945" s="9">
        <v>0</v>
      </c>
      <c r="J945" s="8">
        <v>67.5</v>
      </c>
      <c r="K945" s="8">
        <v>22.48</v>
      </c>
      <c r="L945" s="10" t="s">
        <v>17</v>
      </c>
    </row>
    <row r="946" spans="1:12" x14ac:dyDescent="0.3">
      <c r="A946" s="5" t="s">
        <v>1671</v>
      </c>
      <c r="B946" s="6">
        <v>45603</v>
      </c>
      <c r="C946" s="7" t="s">
        <v>1248</v>
      </c>
      <c r="D946" s="7" t="s">
        <v>42</v>
      </c>
      <c r="E946" s="7" t="s">
        <v>177</v>
      </c>
      <c r="F946" s="7" t="s">
        <v>49</v>
      </c>
      <c r="G946" s="7">
        <v>3</v>
      </c>
      <c r="H946" s="8">
        <v>47.44</v>
      </c>
      <c r="I946" s="9">
        <v>5</v>
      </c>
      <c r="J946" s="8">
        <v>135.19999999999999</v>
      </c>
      <c r="K946" s="8">
        <v>59.6</v>
      </c>
      <c r="L946" s="10" t="s">
        <v>17</v>
      </c>
    </row>
    <row r="947" spans="1:12" x14ac:dyDescent="0.3">
      <c r="A947" s="5" t="s">
        <v>1672</v>
      </c>
      <c r="B947" s="6">
        <v>45391</v>
      </c>
      <c r="C947" s="7" t="s">
        <v>1673</v>
      </c>
      <c r="D947" s="7" t="s">
        <v>37</v>
      </c>
      <c r="E947" s="7" t="s">
        <v>64</v>
      </c>
      <c r="F947" s="7" t="s">
        <v>16</v>
      </c>
      <c r="G947" s="7">
        <v>3</v>
      </c>
      <c r="H947" s="8">
        <v>61.28</v>
      </c>
      <c r="I947" s="9">
        <v>20</v>
      </c>
      <c r="J947" s="8">
        <v>147.07</v>
      </c>
      <c r="K947" s="8">
        <v>11.82</v>
      </c>
      <c r="L947" s="10" t="s">
        <v>34</v>
      </c>
    </row>
    <row r="948" spans="1:12" x14ac:dyDescent="0.3">
      <c r="A948" s="5" t="s">
        <v>1674</v>
      </c>
      <c r="B948" s="6">
        <v>45795</v>
      </c>
      <c r="C948" s="7" t="s">
        <v>1675</v>
      </c>
      <c r="D948" s="7" t="s">
        <v>14</v>
      </c>
      <c r="E948" s="7" t="s">
        <v>88</v>
      </c>
      <c r="F948" s="7" t="s">
        <v>22</v>
      </c>
      <c r="G948" s="7">
        <v>3</v>
      </c>
      <c r="H948" s="8">
        <v>25.85</v>
      </c>
      <c r="I948" s="9">
        <v>20</v>
      </c>
      <c r="J948" s="8">
        <v>62.04</v>
      </c>
      <c r="K948" s="8">
        <v>25.99</v>
      </c>
      <c r="L948" s="10" t="s">
        <v>17</v>
      </c>
    </row>
    <row r="949" spans="1:12" x14ac:dyDescent="0.3">
      <c r="A949" s="5" t="s">
        <v>1676</v>
      </c>
      <c r="B949" s="6">
        <v>45546</v>
      </c>
      <c r="C949" s="7" t="s">
        <v>498</v>
      </c>
      <c r="D949" s="7" t="s">
        <v>42</v>
      </c>
      <c r="E949" s="7" t="s">
        <v>324</v>
      </c>
      <c r="F949" s="7" t="s">
        <v>16</v>
      </c>
      <c r="G949" s="7">
        <v>1</v>
      </c>
      <c r="H949" s="8">
        <v>146.24</v>
      </c>
      <c r="I949" s="9">
        <v>15</v>
      </c>
      <c r="J949" s="8">
        <v>124.3</v>
      </c>
      <c r="K949" s="8">
        <v>15.45</v>
      </c>
      <c r="L949" s="10" t="s">
        <v>17</v>
      </c>
    </row>
    <row r="950" spans="1:12" x14ac:dyDescent="0.3">
      <c r="A950" s="5" t="s">
        <v>1677</v>
      </c>
      <c r="B950" s="6">
        <v>45596</v>
      </c>
      <c r="C950" s="7" t="s">
        <v>1663</v>
      </c>
      <c r="D950" s="7" t="s">
        <v>14</v>
      </c>
      <c r="E950" s="7" t="s">
        <v>61</v>
      </c>
      <c r="F950" s="7" t="s">
        <v>39</v>
      </c>
      <c r="G950" s="7">
        <v>5</v>
      </c>
      <c r="H950" s="8">
        <v>16.760000000000002</v>
      </c>
      <c r="I950" s="9">
        <v>5</v>
      </c>
      <c r="J950" s="8">
        <v>79.61</v>
      </c>
      <c r="K950" s="8">
        <v>28.86</v>
      </c>
      <c r="L950" s="10" t="s">
        <v>17</v>
      </c>
    </row>
    <row r="951" spans="1:12" x14ac:dyDescent="0.3">
      <c r="A951" s="5" t="s">
        <v>1678</v>
      </c>
      <c r="B951" s="6">
        <v>45621</v>
      </c>
      <c r="C951" s="7" t="s">
        <v>1399</v>
      </c>
      <c r="D951" s="7" t="s">
        <v>14</v>
      </c>
      <c r="E951" s="7" t="s">
        <v>74</v>
      </c>
      <c r="F951" s="7" t="s">
        <v>75</v>
      </c>
      <c r="G951" s="7">
        <v>4</v>
      </c>
      <c r="H951" s="8">
        <v>39.340000000000003</v>
      </c>
      <c r="I951" s="9">
        <v>20</v>
      </c>
      <c r="J951" s="8">
        <v>125.89</v>
      </c>
      <c r="K951" s="8">
        <v>33.26</v>
      </c>
      <c r="L951" s="10" t="s">
        <v>17</v>
      </c>
    </row>
    <row r="952" spans="1:12" x14ac:dyDescent="0.3">
      <c r="A952" s="5" t="s">
        <v>1679</v>
      </c>
      <c r="B952" s="6">
        <v>45659</v>
      </c>
      <c r="C952" s="7" t="s">
        <v>1680</v>
      </c>
      <c r="D952" s="7" t="s">
        <v>42</v>
      </c>
      <c r="E952" s="7" t="s">
        <v>80</v>
      </c>
      <c r="F952" s="7" t="s">
        <v>16</v>
      </c>
      <c r="G952" s="7">
        <v>1</v>
      </c>
      <c r="H952" s="8">
        <v>135.31</v>
      </c>
      <c r="I952" s="9">
        <v>20</v>
      </c>
      <c r="J952" s="8">
        <v>108.25</v>
      </c>
      <c r="K952" s="8">
        <v>26.12</v>
      </c>
      <c r="L952" s="10" t="s">
        <v>17</v>
      </c>
    </row>
    <row r="953" spans="1:12" x14ac:dyDescent="0.3">
      <c r="A953" s="5" t="s">
        <v>1681</v>
      </c>
      <c r="B953" s="6">
        <v>45308</v>
      </c>
      <c r="C953" s="7" t="s">
        <v>1682</v>
      </c>
      <c r="D953" s="7" t="s">
        <v>37</v>
      </c>
      <c r="E953" s="7" t="s">
        <v>324</v>
      </c>
      <c r="F953" s="7" t="s">
        <v>16</v>
      </c>
      <c r="G953" s="7">
        <v>1</v>
      </c>
      <c r="H953" s="8">
        <v>115.81</v>
      </c>
      <c r="I953" s="9">
        <v>20</v>
      </c>
      <c r="J953" s="8">
        <v>92.65</v>
      </c>
      <c r="K953" s="8">
        <v>10.94</v>
      </c>
      <c r="L953" s="10" t="s">
        <v>17</v>
      </c>
    </row>
    <row r="954" spans="1:12" x14ac:dyDescent="0.3">
      <c r="A954" s="5" t="s">
        <v>1683</v>
      </c>
      <c r="B954" s="6">
        <v>45887</v>
      </c>
      <c r="C954" s="7" t="s">
        <v>1684</v>
      </c>
      <c r="D954" s="7" t="s">
        <v>26</v>
      </c>
      <c r="E954" s="7" t="s">
        <v>91</v>
      </c>
      <c r="F954" s="7" t="s">
        <v>49</v>
      </c>
      <c r="G954" s="7">
        <v>2</v>
      </c>
      <c r="H954" s="8">
        <v>42.34</v>
      </c>
      <c r="I954" s="9">
        <v>15</v>
      </c>
      <c r="J954" s="8">
        <v>71.98</v>
      </c>
      <c r="K954" s="8">
        <v>25.5</v>
      </c>
      <c r="L954" s="10" t="s">
        <v>17</v>
      </c>
    </row>
    <row r="955" spans="1:12" x14ac:dyDescent="0.3">
      <c r="A955" s="5" t="s">
        <v>1685</v>
      </c>
      <c r="B955" s="6">
        <v>45610</v>
      </c>
      <c r="C955" s="7" t="s">
        <v>779</v>
      </c>
      <c r="D955" s="7" t="s">
        <v>26</v>
      </c>
      <c r="E955" s="7" t="s">
        <v>211</v>
      </c>
      <c r="F955" s="7" t="s">
        <v>39</v>
      </c>
      <c r="G955" s="7">
        <v>2</v>
      </c>
      <c r="H955" s="8">
        <v>21.08</v>
      </c>
      <c r="I955" s="9">
        <v>10</v>
      </c>
      <c r="J955" s="8">
        <v>37.94</v>
      </c>
      <c r="K955" s="8">
        <v>14.43</v>
      </c>
      <c r="L955" s="10" t="s">
        <v>23</v>
      </c>
    </row>
    <row r="956" spans="1:12" x14ac:dyDescent="0.3">
      <c r="A956" s="5" t="s">
        <v>1686</v>
      </c>
      <c r="B956" s="6">
        <v>45805</v>
      </c>
      <c r="C956" s="7" t="s">
        <v>1687</v>
      </c>
      <c r="D956" s="7" t="s">
        <v>42</v>
      </c>
      <c r="E956" s="7" t="s">
        <v>136</v>
      </c>
      <c r="F956" s="7" t="s">
        <v>75</v>
      </c>
      <c r="G956" s="7">
        <v>1</v>
      </c>
      <c r="H956" s="8">
        <v>28.45</v>
      </c>
      <c r="I956" s="9">
        <v>0</v>
      </c>
      <c r="J956" s="8">
        <v>28.45</v>
      </c>
      <c r="K956" s="8">
        <v>8.09</v>
      </c>
      <c r="L956" s="10" t="s">
        <v>23</v>
      </c>
    </row>
    <row r="957" spans="1:12" x14ac:dyDescent="0.3">
      <c r="A957" s="5" t="s">
        <v>1688</v>
      </c>
      <c r="B957" s="6">
        <v>45524</v>
      </c>
      <c r="C957" s="7" t="s">
        <v>959</v>
      </c>
      <c r="D957" s="7" t="s">
        <v>14</v>
      </c>
      <c r="E957" s="7" t="s">
        <v>460</v>
      </c>
      <c r="F957" s="7" t="s">
        <v>75</v>
      </c>
      <c r="G957" s="7">
        <v>2</v>
      </c>
      <c r="H957" s="8">
        <v>56.93</v>
      </c>
      <c r="I957" s="9">
        <v>0</v>
      </c>
      <c r="J957" s="8">
        <v>113.86</v>
      </c>
      <c r="K957" s="8">
        <v>36.93</v>
      </c>
      <c r="L957" s="10" t="s">
        <v>34</v>
      </c>
    </row>
    <row r="958" spans="1:12" x14ac:dyDescent="0.3">
      <c r="A958" s="5" t="s">
        <v>1689</v>
      </c>
      <c r="B958" s="6">
        <v>45864</v>
      </c>
      <c r="C958" s="7" t="s">
        <v>1030</v>
      </c>
      <c r="D958" s="7" t="s">
        <v>26</v>
      </c>
      <c r="E958" s="7" t="s">
        <v>151</v>
      </c>
      <c r="F958" s="7" t="s">
        <v>39</v>
      </c>
      <c r="G958" s="7">
        <v>1</v>
      </c>
      <c r="H958" s="8">
        <v>71.19</v>
      </c>
      <c r="I958" s="9">
        <v>15</v>
      </c>
      <c r="J958" s="8">
        <v>60.51</v>
      </c>
      <c r="K958" s="8">
        <v>23.91</v>
      </c>
      <c r="L958" s="10" t="s">
        <v>17</v>
      </c>
    </row>
    <row r="959" spans="1:12" x14ac:dyDescent="0.3">
      <c r="A959" s="5" t="s">
        <v>1690</v>
      </c>
      <c r="B959" s="6">
        <v>45630</v>
      </c>
      <c r="C959" s="7" t="s">
        <v>941</v>
      </c>
      <c r="D959" s="7" t="s">
        <v>37</v>
      </c>
      <c r="E959" s="7" t="s">
        <v>556</v>
      </c>
      <c r="F959" s="7" t="s">
        <v>49</v>
      </c>
      <c r="G959" s="7">
        <v>2</v>
      </c>
      <c r="H959" s="8">
        <v>63.08</v>
      </c>
      <c r="I959" s="9">
        <v>15</v>
      </c>
      <c r="J959" s="8">
        <v>107.24</v>
      </c>
      <c r="K959" s="8">
        <v>45.68</v>
      </c>
      <c r="L959" s="10" t="s">
        <v>23</v>
      </c>
    </row>
    <row r="960" spans="1:12" x14ac:dyDescent="0.3">
      <c r="A960" s="5" t="s">
        <v>1691</v>
      </c>
      <c r="B960" s="6">
        <v>45551</v>
      </c>
      <c r="C960" s="7" t="s">
        <v>1692</v>
      </c>
      <c r="D960" s="7" t="s">
        <v>26</v>
      </c>
      <c r="E960" s="7" t="s">
        <v>108</v>
      </c>
      <c r="F960" s="7" t="s">
        <v>75</v>
      </c>
      <c r="G960" s="7">
        <v>4</v>
      </c>
      <c r="H960" s="8">
        <v>49.44</v>
      </c>
      <c r="I960" s="9">
        <v>0</v>
      </c>
      <c r="J960" s="8">
        <v>197.76</v>
      </c>
      <c r="K960" s="8">
        <v>50.24</v>
      </c>
      <c r="L960" s="10" t="s">
        <v>23</v>
      </c>
    </row>
    <row r="961" spans="1:12" x14ac:dyDescent="0.3">
      <c r="A961" s="5" t="s">
        <v>1693</v>
      </c>
      <c r="B961" s="6">
        <v>45445</v>
      </c>
      <c r="C961" s="7" t="s">
        <v>1694</v>
      </c>
      <c r="D961" s="7" t="s">
        <v>20</v>
      </c>
      <c r="E961" s="7" t="s">
        <v>21</v>
      </c>
      <c r="F961" s="7" t="s">
        <v>22</v>
      </c>
      <c r="G961" s="7">
        <v>1</v>
      </c>
      <c r="H961" s="8">
        <v>49.03</v>
      </c>
      <c r="I961" s="9">
        <v>0</v>
      </c>
      <c r="J961" s="8">
        <v>49.03</v>
      </c>
      <c r="K961" s="8">
        <v>23.19</v>
      </c>
      <c r="L961" s="10" t="s">
        <v>17</v>
      </c>
    </row>
    <row r="962" spans="1:12" x14ac:dyDescent="0.3">
      <c r="A962" s="5" t="s">
        <v>1695</v>
      </c>
      <c r="B962" s="6">
        <v>45463</v>
      </c>
      <c r="C962" s="7" t="s">
        <v>1536</v>
      </c>
      <c r="D962" s="7" t="s">
        <v>26</v>
      </c>
      <c r="E962" s="7" t="s">
        <v>211</v>
      </c>
      <c r="F962" s="7" t="s">
        <v>39</v>
      </c>
      <c r="G962" s="7">
        <v>1</v>
      </c>
      <c r="H962" s="8">
        <v>38.049999999999997</v>
      </c>
      <c r="I962" s="9">
        <v>0</v>
      </c>
      <c r="J962" s="8">
        <v>38.049999999999997</v>
      </c>
      <c r="K962" s="8">
        <v>12.91</v>
      </c>
      <c r="L962" s="10" t="s">
        <v>23</v>
      </c>
    </row>
    <row r="963" spans="1:12" x14ac:dyDescent="0.3">
      <c r="A963" s="5" t="s">
        <v>1696</v>
      </c>
      <c r="B963" s="6">
        <v>45694</v>
      </c>
      <c r="C963" s="7" t="s">
        <v>1697</v>
      </c>
      <c r="D963" s="7" t="s">
        <v>42</v>
      </c>
      <c r="E963" s="7" t="s">
        <v>141</v>
      </c>
      <c r="F963" s="7" t="s">
        <v>16</v>
      </c>
      <c r="G963" s="7">
        <v>1</v>
      </c>
      <c r="H963" s="8">
        <v>50.52</v>
      </c>
      <c r="I963" s="9">
        <v>5</v>
      </c>
      <c r="J963" s="8">
        <v>47.99</v>
      </c>
      <c r="K963" s="8">
        <v>11.89</v>
      </c>
      <c r="L963" s="10" t="s">
        <v>34</v>
      </c>
    </row>
    <row r="964" spans="1:12" x14ac:dyDescent="0.3">
      <c r="A964" s="5" t="s">
        <v>1698</v>
      </c>
      <c r="B964" s="6">
        <v>45907</v>
      </c>
      <c r="C964" s="7" t="s">
        <v>1464</v>
      </c>
      <c r="D964" s="7" t="s">
        <v>42</v>
      </c>
      <c r="E964" s="7" t="s">
        <v>324</v>
      </c>
      <c r="F964" s="7" t="s">
        <v>16</v>
      </c>
      <c r="G964" s="7">
        <v>1</v>
      </c>
      <c r="H964" s="8">
        <v>96.27</v>
      </c>
      <c r="I964" s="9">
        <v>15</v>
      </c>
      <c r="J964" s="8">
        <v>81.83</v>
      </c>
      <c r="K964" s="8">
        <v>17.350000000000001</v>
      </c>
      <c r="L964" s="10" t="s">
        <v>23</v>
      </c>
    </row>
    <row r="965" spans="1:12" x14ac:dyDescent="0.3">
      <c r="A965" s="5" t="s">
        <v>1699</v>
      </c>
      <c r="B965" s="6">
        <v>45609</v>
      </c>
      <c r="C965" s="7" t="s">
        <v>527</v>
      </c>
      <c r="D965" s="7" t="s">
        <v>37</v>
      </c>
      <c r="E965" s="7" t="s">
        <v>269</v>
      </c>
      <c r="F965" s="7" t="s">
        <v>75</v>
      </c>
      <c r="G965" s="7">
        <v>2</v>
      </c>
      <c r="H965" s="8">
        <v>35.26</v>
      </c>
      <c r="I965" s="9">
        <v>0</v>
      </c>
      <c r="J965" s="8">
        <v>70.52</v>
      </c>
      <c r="K965" s="8">
        <v>13.46</v>
      </c>
      <c r="L965" s="10" t="s">
        <v>17</v>
      </c>
    </row>
    <row r="966" spans="1:12" x14ac:dyDescent="0.3">
      <c r="A966" s="5" t="s">
        <v>1700</v>
      </c>
      <c r="B966" s="6">
        <v>45574</v>
      </c>
      <c r="C966" s="7" t="s">
        <v>611</v>
      </c>
      <c r="D966" s="7" t="s">
        <v>37</v>
      </c>
      <c r="E966" s="7" t="s">
        <v>291</v>
      </c>
      <c r="F966" s="7" t="s">
        <v>22</v>
      </c>
      <c r="G966" s="7">
        <v>1</v>
      </c>
      <c r="H966" s="8">
        <v>38.26</v>
      </c>
      <c r="I966" s="9">
        <v>5</v>
      </c>
      <c r="J966" s="8">
        <v>36.35</v>
      </c>
      <c r="K966" s="8">
        <v>20.54</v>
      </c>
      <c r="L966" s="10" t="s">
        <v>17</v>
      </c>
    </row>
    <row r="967" spans="1:12" x14ac:dyDescent="0.3">
      <c r="A967" s="5" t="s">
        <v>1701</v>
      </c>
      <c r="B967" s="6">
        <v>45997</v>
      </c>
      <c r="C967" s="7" t="s">
        <v>1702</v>
      </c>
      <c r="D967" s="7" t="s">
        <v>20</v>
      </c>
      <c r="E967" s="7" t="s">
        <v>269</v>
      </c>
      <c r="F967" s="7" t="s">
        <v>75</v>
      </c>
      <c r="G967" s="7">
        <v>1</v>
      </c>
      <c r="H967" s="8">
        <v>8.75</v>
      </c>
      <c r="I967" s="9">
        <v>0</v>
      </c>
      <c r="J967" s="8">
        <v>8.75</v>
      </c>
      <c r="K967" s="8">
        <v>2.4900000000000002</v>
      </c>
      <c r="L967" s="10" t="s">
        <v>17</v>
      </c>
    </row>
    <row r="968" spans="1:12" x14ac:dyDescent="0.3">
      <c r="A968" s="5" t="s">
        <v>1703</v>
      </c>
      <c r="B968" s="6">
        <v>45653</v>
      </c>
      <c r="C968" s="7" t="s">
        <v>1138</v>
      </c>
      <c r="D968" s="7" t="s">
        <v>26</v>
      </c>
      <c r="E968" s="7" t="s">
        <v>52</v>
      </c>
      <c r="F968" s="7" t="s">
        <v>39</v>
      </c>
      <c r="G968" s="7">
        <v>4</v>
      </c>
      <c r="H968" s="8">
        <v>78.569999999999993</v>
      </c>
      <c r="I968" s="9">
        <v>5</v>
      </c>
      <c r="J968" s="8">
        <v>298.57</v>
      </c>
      <c r="K968" s="8">
        <v>68.45</v>
      </c>
      <c r="L968" s="10" t="s">
        <v>17</v>
      </c>
    </row>
    <row r="969" spans="1:12" x14ac:dyDescent="0.3">
      <c r="A969" s="5" t="s">
        <v>1704</v>
      </c>
      <c r="B969" s="6">
        <v>45891</v>
      </c>
      <c r="C969" s="7" t="s">
        <v>666</v>
      </c>
      <c r="D969" s="7" t="s">
        <v>37</v>
      </c>
      <c r="E969" s="7" t="s">
        <v>43</v>
      </c>
      <c r="F969" s="7" t="s">
        <v>22</v>
      </c>
      <c r="G969" s="7">
        <v>1</v>
      </c>
      <c r="H969" s="8">
        <v>10.09</v>
      </c>
      <c r="I969" s="9">
        <v>25</v>
      </c>
      <c r="J969" s="8">
        <v>7.57</v>
      </c>
      <c r="K969" s="8">
        <v>3.31</v>
      </c>
      <c r="L969" s="10" t="s">
        <v>23</v>
      </c>
    </row>
    <row r="970" spans="1:12" x14ac:dyDescent="0.3">
      <c r="A970" s="5" t="s">
        <v>1705</v>
      </c>
      <c r="B970" s="6">
        <v>45505</v>
      </c>
      <c r="C970" s="7" t="s">
        <v>820</v>
      </c>
      <c r="D970" s="7" t="s">
        <v>14</v>
      </c>
      <c r="E970" s="7" t="s">
        <v>30</v>
      </c>
      <c r="F970" s="7" t="s">
        <v>16</v>
      </c>
      <c r="G970" s="7">
        <v>2</v>
      </c>
      <c r="H970" s="8">
        <v>111.83</v>
      </c>
      <c r="I970" s="9">
        <v>5</v>
      </c>
      <c r="J970" s="8">
        <v>212.48</v>
      </c>
      <c r="K970" s="8">
        <v>51.18</v>
      </c>
      <c r="L970" s="10" t="s">
        <v>17</v>
      </c>
    </row>
    <row r="971" spans="1:12" x14ac:dyDescent="0.3">
      <c r="A971" s="5" t="s">
        <v>1706</v>
      </c>
      <c r="B971" s="6">
        <v>45964</v>
      </c>
      <c r="C971" s="7" t="s">
        <v>365</v>
      </c>
      <c r="D971" s="7" t="s">
        <v>42</v>
      </c>
      <c r="E971" s="7" t="s">
        <v>222</v>
      </c>
      <c r="F971" s="7" t="s">
        <v>22</v>
      </c>
      <c r="G971" s="7">
        <v>3</v>
      </c>
      <c r="H971" s="8">
        <v>41.4</v>
      </c>
      <c r="I971" s="9">
        <v>5</v>
      </c>
      <c r="J971" s="8">
        <v>117.99</v>
      </c>
      <c r="K971" s="8">
        <v>71.12</v>
      </c>
      <c r="L971" s="10" t="s">
        <v>17</v>
      </c>
    </row>
    <row r="972" spans="1:12" x14ac:dyDescent="0.3">
      <c r="A972" s="5" t="s">
        <v>1707</v>
      </c>
      <c r="B972" s="6">
        <v>45375</v>
      </c>
      <c r="C972" s="7" t="s">
        <v>1708</v>
      </c>
      <c r="D972" s="7" t="s">
        <v>26</v>
      </c>
      <c r="E972" s="7" t="s">
        <v>91</v>
      </c>
      <c r="F972" s="7" t="s">
        <v>49</v>
      </c>
      <c r="G972" s="7">
        <v>2</v>
      </c>
      <c r="H972" s="8">
        <v>63.36</v>
      </c>
      <c r="I972" s="9">
        <v>10</v>
      </c>
      <c r="J972" s="8">
        <v>114.05</v>
      </c>
      <c r="K972" s="8">
        <v>35.049999999999997</v>
      </c>
      <c r="L972" s="10" t="s">
        <v>17</v>
      </c>
    </row>
    <row r="973" spans="1:12" x14ac:dyDescent="0.3">
      <c r="A973" s="5" t="s">
        <v>1709</v>
      </c>
      <c r="B973" s="6">
        <v>45454</v>
      </c>
      <c r="C973" s="7" t="s">
        <v>842</v>
      </c>
      <c r="D973" s="7" t="s">
        <v>20</v>
      </c>
      <c r="E973" s="7" t="s">
        <v>141</v>
      </c>
      <c r="F973" s="7" t="s">
        <v>16</v>
      </c>
      <c r="G973" s="7">
        <v>3</v>
      </c>
      <c r="H973" s="8">
        <v>59.34</v>
      </c>
      <c r="I973" s="9">
        <v>10</v>
      </c>
      <c r="J973" s="8">
        <v>160.22</v>
      </c>
      <c r="K973" s="8">
        <v>28.29</v>
      </c>
      <c r="L973" s="10" t="s">
        <v>17</v>
      </c>
    </row>
    <row r="974" spans="1:12" x14ac:dyDescent="0.3">
      <c r="A974" s="5" t="s">
        <v>1710</v>
      </c>
      <c r="B974" s="6">
        <v>45765</v>
      </c>
      <c r="C974" s="7" t="s">
        <v>1711</v>
      </c>
      <c r="D974" s="7" t="s">
        <v>26</v>
      </c>
      <c r="E974" s="7" t="s">
        <v>43</v>
      </c>
      <c r="F974" s="7" t="s">
        <v>22</v>
      </c>
      <c r="G974" s="7">
        <v>1</v>
      </c>
      <c r="H974" s="8">
        <v>12.75</v>
      </c>
      <c r="I974" s="9">
        <v>15</v>
      </c>
      <c r="J974" s="8">
        <v>10.84</v>
      </c>
      <c r="K974" s="8">
        <v>4.5599999999999996</v>
      </c>
      <c r="L974" s="10" t="s">
        <v>17</v>
      </c>
    </row>
    <row r="975" spans="1:12" x14ac:dyDescent="0.3">
      <c r="A975" s="5" t="s">
        <v>1712</v>
      </c>
      <c r="B975" s="6">
        <v>45482</v>
      </c>
      <c r="C975" s="7" t="s">
        <v>1713</v>
      </c>
      <c r="D975" s="7" t="s">
        <v>14</v>
      </c>
      <c r="E975" s="7" t="s">
        <v>105</v>
      </c>
      <c r="F975" s="7" t="s">
        <v>39</v>
      </c>
      <c r="G975" s="7">
        <v>1</v>
      </c>
      <c r="H975" s="8">
        <v>63.5</v>
      </c>
      <c r="I975" s="9">
        <v>5</v>
      </c>
      <c r="J975" s="8">
        <v>60.33</v>
      </c>
      <c r="K975" s="8">
        <v>12.7</v>
      </c>
      <c r="L975" s="10" t="s">
        <v>23</v>
      </c>
    </row>
    <row r="976" spans="1:12" x14ac:dyDescent="0.3">
      <c r="A976" s="5" t="s">
        <v>1714</v>
      </c>
      <c r="B976" s="6">
        <v>45855</v>
      </c>
      <c r="C976" s="7" t="s">
        <v>1715</v>
      </c>
      <c r="D976" s="7" t="s">
        <v>20</v>
      </c>
      <c r="E976" s="7" t="s">
        <v>286</v>
      </c>
      <c r="F976" s="7" t="s">
        <v>39</v>
      </c>
      <c r="G976" s="7">
        <v>1</v>
      </c>
      <c r="H976" s="8">
        <v>56.6</v>
      </c>
      <c r="I976" s="9">
        <v>10</v>
      </c>
      <c r="J976" s="8">
        <v>50.94</v>
      </c>
      <c r="K976" s="8">
        <v>19.63</v>
      </c>
      <c r="L976" s="10" t="s">
        <v>17</v>
      </c>
    </row>
    <row r="977" spans="1:12" x14ac:dyDescent="0.3">
      <c r="A977" s="5" t="s">
        <v>1716</v>
      </c>
      <c r="B977" s="6">
        <v>45296</v>
      </c>
      <c r="C977" s="7" t="s">
        <v>1717</v>
      </c>
      <c r="D977" s="7" t="s">
        <v>14</v>
      </c>
      <c r="E977" s="7" t="s">
        <v>556</v>
      </c>
      <c r="F977" s="7" t="s">
        <v>49</v>
      </c>
      <c r="G977" s="7">
        <v>3</v>
      </c>
      <c r="H977" s="8">
        <v>34.15</v>
      </c>
      <c r="I977" s="9">
        <v>0</v>
      </c>
      <c r="J977" s="8">
        <v>102.45</v>
      </c>
      <c r="K977" s="8">
        <v>32.68</v>
      </c>
      <c r="L977" s="10" t="s">
        <v>23</v>
      </c>
    </row>
    <row r="978" spans="1:12" x14ac:dyDescent="0.3">
      <c r="A978" s="5" t="s">
        <v>1718</v>
      </c>
      <c r="B978" s="6">
        <v>45804</v>
      </c>
      <c r="C978" s="7" t="s">
        <v>889</v>
      </c>
      <c r="D978" s="7" t="s">
        <v>26</v>
      </c>
      <c r="E978" s="7" t="s">
        <v>187</v>
      </c>
      <c r="F978" s="7" t="s">
        <v>75</v>
      </c>
      <c r="G978" s="7">
        <v>4</v>
      </c>
      <c r="H978" s="8">
        <v>26.28</v>
      </c>
      <c r="I978" s="9">
        <v>0</v>
      </c>
      <c r="J978" s="8">
        <v>105.12</v>
      </c>
      <c r="K978" s="8">
        <v>36.44</v>
      </c>
      <c r="L978" s="10" t="s">
        <v>23</v>
      </c>
    </row>
    <row r="979" spans="1:12" x14ac:dyDescent="0.3">
      <c r="A979" s="5" t="s">
        <v>1719</v>
      </c>
      <c r="B979" s="6">
        <v>45768</v>
      </c>
      <c r="C979" s="7" t="s">
        <v>1216</v>
      </c>
      <c r="D979" s="7" t="s">
        <v>20</v>
      </c>
      <c r="E979" s="7" t="s">
        <v>460</v>
      </c>
      <c r="F979" s="7" t="s">
        <v>75</v>
      </c>
      <c r="G979" s="7">
        <v>1</v>
      </c>
      <c r="H979" s="8">
        <v>10.45</v>
      </c>
      <c r="I979" s="9">
        <v>5</v>
      </c>
      <c r="J979" s="8">
        <v>9.93</v>
      </c>
      <c r="K979" s="8">
        <v>2.9</v>
      </c>
      <c r="L979" s="10" t="s">
        <v>17</v>
      </c>
    </row>
    <row r="980" spans="1:12" x14ac:dyDescent="0.3">
      <c r="A980" s="5" t="s">
        <v>1720</v>
      </c>
      <c r="B980" s="6">
        <v>45389</v>
      </c>
      <c r="C980" s="7" t="s">
        <v>181</v>
      </c>
      <c r="D980" s="7" t="s">
        <v>42</v>
      </c>
      <c r="E980" s="7" t="s">
        <v>227</v>
      </c>
      <c r="F980" s="7" t="s">
        <v>39</v>
      </c>
      <c r="G980" s="7">
        <v>2</v>
      </c>
      <c r="H980" s="8">
        <v>52.2</v>
      </c>
      <c r="I980" s="9">
        <v>10</v>
      </c>
      <c r="J980" s="8">
        <v>93.96</v>
      </c>
      <c r="K980" s="8">
        <v>23.45</v>
      </c>
      <c r="L980" s="10" t="s">
        <v>17</v>
      </c>
    </row>
    <row r="981" spans="1:12" x14ac:dyDescent="0.3">
      <c r="A981" s="5" t="s">
        <v>1721</v>
      </c>
      <c r="B981" s="6">
        <v>45977</v>
      </c>
      <c r="C981" s="7" t="s">
        <v>1441</v>
      </c>
      <c r="D981" s="7" t="s">
        <v>26</v>
      </c>
      <c r="E981" s="7" t="s">
        <v>154</v>
      </c>
      <c r="F981" s="7" t="s">
        <v>39</v>
      </c>
      <c r="G981" s="7">
        <v>1</v>
      </c>
      <c r="H981" s="8">
        <v>12.26</v>
      </c>
      <c r="I981" s="9">
        <v>20</v>
      </c>
      <c r="J981" s="8">
        <v>9.81</v>
      </c>
      <c r="K981" s="8">
        <v>3.54</v>
      </c>
      <c r="L981" s="10" t="s">
        <v>17</v>
      </c>
    </row>
    <row r="982" spans="1:12" x14ac:dyDescent="0.3">
      <c r="A982" s="5" t="s">
        <v>1722</v>
      </c>
      <c r="B982" s="6">
        <v>45946</v>
      </c>
      <c r="C982" s="7" t="s">
        <v>1723</v>
      </c>
      <c r="D982" s="7" t="s">
        <v>14</v>
      </c>
      <c r="E982" s="7" t="s">
        <v>33</v>
      </c>
      <c r="F982" s="7" t="s">
        <v>16</v>
      </c>
      <c r="G982" s="7">
        <v>1</v>
      </c>
      <c r="H982" s="8">
        <v>31.51</v>
      </c>
      <c r="I982" s="9">
        <v>20</v>
      </c>
      <c r="J982" s="8">
        <v>25.21</v>
      </c>
      <c r="K982" s="8">
        <v>2.89</v>
      </c>
      <c r="L982" s="10" t="s">
        <v>17</v>
      </c>
    </row>
    <row r="983" spans="1:12" x14ac:dyDescent="0.3">
      <c r="A983" s="5" t="s">
        <v>1724</v>
      </c>
      <c r="B983" s="6">
        <v>45551</v>
      </c>
      <c r="C983" s="7" t="s">
        <v>1323</v>
      </c>
      <c r="D983" s="7" t="s">
        <v>37</v>
      </c>
      <c r="E983" s="7" t="s">
        <v>253</v>
      </c>
      <c r="F983" s="7" t="s">
        <v>49</v>
      </c>
      <c r="G983" s="7">
        <v>2</v>
      </c>
      <c r="H983" s="8">
        <v>73.319999999999993</v>
      </c>
      <c r="I983" s="9">
        <v>15</v>
      </c>
      <c r="J983" s="8">
        <v>124.64</v>
      </c>
      <c r="K983" s="8">
        <v>60.35</v>
      </c>
      <c r="L983" s="10" t="s">
        <v>23</v>
      </c>
    </row>
    <row r="984" spans="1:12" x14ac:dyDescent="0.3">
      <c r="A984" s="5" t="s">
        <v>1725</v>
      </c>
      <c r="B984" s="6">
        <v>45688</v>
      </c>
      <c r="C984" s="7" t="s">
        <v>1726</v>
      </c>
      <c r="D984" s="7" t="s">
        <v>42</v>
      </c>
      <c r="E984" s="7" t="s">
        <v>136</v>
      </c>
      <c r="F984" s="7" t="s">
        <v>75</v>
      </c>
      <c r="G984" s="7">
        <v>3</v>
      </c>
      <c r="H984" s="8">
        <v>54.7</v>
      </c>
      <c r="I984" s="9">
        <v>15</v>
      </c>
      <c r="J984" s="8">
        <v>139.49</v>
      </c>
      <c r="K984" s="8">
        <v>46.32</v>
      </c>
      <c r="L984" s="10" t="s">
        <v>17</v>
      </c>
    </row>
    <row r="985" spans="1:12" x14ac:dyDescent="0.3">
      <c r="A985" s="5" t="s">
        <v>1727</v>
      </c>
      <c r="B985" s="6">
        <v>45813</v>
      </c>
      <c r="C985" s="7" t="s">
        <v>791</v>
      </c>
      <c r="D985" s="7" t="s">
        <v>14</v>
      </c>
      <c r="E985" s="7" t="s">
        <v>151</v>
      </c>
      <c r="F985" s="7" t="s">
        <v>39</v>
      </c>
      <c r="G985" s="7">
        <v>1</v>
      </c>
      <c r="H985" s="8">
        <v>41.62</v>
      </c>
      <c r="I985" s="9">
        <v>10</v>
      </c>
      <c r="J985" s="8">
        <v>37.46</v>
      </c>
      <c r="K985" s="8">
        <v>13.05</v>
      </c>
      <c r="L985" s="10" t="s">
        <v>17</v>
      </c>
    </row>
    <row r="986" spans="1:12" x14ac:dyDescent="0.3">
      <c r="A986" s="5" t="s">
        <v>1728</v>
      </c>
      <c r="B986" s="6">
        <v>46014</v>
      </c>
      <c r="C986" s="7" t="s">
        <v>1098</v>
      </c>
      <c r="D986" s="7" t="s">
        <v>26</v>
      </c>
      <c r="E986" s="7" t="s">
        <v>269</v>
      </c>
      <c r="F986" s="7" t="s">
        <v>75</v>
      </c>
      <c r="G986" s="7">
        <v>2</v>
      </c>
      <c r="H986" s="8">
        <v>39.15</v>
      </c>
      <c r="I986" s="9">
        <v>0</v>
      </c>
      <c r="J986" s="8">
        <v>78.3</v>
      </c>
      <c r="K986" s="8">
        <v>25.6</v>
      </c>
      <c r="L986" s="10" t="s">
        <v>17</v>
      </c>
    </row>
    <row r="987" spans="1:12" x14ac:dyDescent="0.3">
      <c r="A987" s="5" t="s">
        <v>1729</v>
      </c>
      <c r="B987" s="6">
        <v>45755</v>
      </c>
      <c r="C987" s="7" t="s">
        <v>1730</v>
      </c>
      <c r="D987" s="7" t="s">
        <v>26</v>
      </c>
      <c r="E987" s="7" t="s">
        <v>38</v>
      </c>
      <c r="F987" s="7" t="s">
        <v>39</v>
      </c>
      <c r="G987" s="7">
        <v>4</v>
      </c>
      <c r="H987" s="8">
        <v>59.6</v>
      </c>
      <c r="I987" s="9">
        <v>5</v>
      </c>
      <c r="J987" s="8">
        <v>226.48</v>
      </c>
      <c r="K987" s="8">
        <v>60.14</v>
      </c>
      <c r="L987" s="10" t="s">
        <v>17</v>
      </c>
    </row>
    <row r="988" spans="1:12" x14ac:dyDescent="0.3">
      <c r="A988" s="5" t="s">
        <v>1731</v>
      </c>
      <c r="B988" s="6">
        <v>45514</v>
      </c>
      <c r="C988" s="7" t="s">
        <v>1406</v>
      </c>
      <c r="D988" s="7" t="s">
        <v>20</v>
      </c>
      <c r="E988" s="7" t="s">
        <v>324</v>
      </c>
      <c r="F988" s="7" t="s">
        <v>16</v>
      </c>
      <c r="G988" s="7">
        <v>3</v>
      </c>
      <c r="H988" s="8">
        <v>54.76</v>
      </c>
      <c r="I988" s="9">
        <v>0</v>
      </c>
      <c r="J988" s="8">
        <v>164.28</v>
      </c>
      <c r="K988" s="8">
        <v>22.73</v>
      </c>
      <c r="L988" s="10" t="s">
        <v>23</v>
      </c>
    </row>
    <row r="989" spans="1:12" x14ac:dyDescent="0.3">
      <c r="A989" s="5" t="s">
        <v>1732</v>
      </c>
      <c r="B989" s="6">
        <v>45368</v>
      </c>
      <c r="C989" s="7" t="s">
        <v>761</v>
      </c>
      <c r="D989" s="7" t="s">
        <v>26</v>
      </c>
      <c r="E989" s="7" t="s">
        <v>27</v>
      </c>
      <c r="F989" s="7" t="s">
        <v>22</v>
      </c>
      <c r="G989" s="7">
        <v>3</v>
      </c>
      <c r="H989" s="8">
        <v>31.44</v>
      </c>
      <c r="I989" s="9">
        <v>0</v>
      </c>
      <c r="J989" s="8">
        <v>94.32</v>
      </c>
      <c r="K989" s="8">
        <v>50.55</v>
      </c>
      <c r="L989" s="10" t="s">
        <v>17</v>
      </c>
    </row>
    <row r="990" spans="1:12" x14ac:dyDescent="0.3">
      <c r="A990" s="5" t="s">
        <v>1733</v>
      </c>
      <c r="B990" s="6">
        <v>45657</v>
      </c>
      <c r="C990" s="7" t="s">
        <v>1652</v>
      </c>
      <c r="D990" s="7" t="s">
        <v>37</v>
      </c>
      <c r="E990" s="7" t="s">
        <v>61</v>
      </c>
      <c r="F990" s="7" t="s">
        <v>39</v>
      </c>
      <c r="G990" s="7">
        <v>1</v>
      </c>
      <c r="H990" s="8">
        <v>31.7</v>
      </c>
      <c r="I990" s="9">
        <v>20</v>
      </c>
      <c r="J990" s="8">
        <v>25.36</v>
      </c>
      <c r="K990" s="8">
        <v>8.8800000000000008</v>
      </c>
      <c r="L990" s="10" t="s">
        <v>23</v>
      </c>
    </row>
    <row r="991" spans="1:12" x14ac:dyDescent="0.3">
      <c r="A991" s="5" t="s">
        <v>1734</v>
      </c>
      <c r="B991" s="6">
        <v>45867</v>
      </c>
      <c r="C991" s="7" t="s">
        <v>1735</v>
      </c>
      <c r="D991" s="7" t="s">
        <v>14</v>
      </c>
      <c r="E991" s="7" t="s">
        <v>502</v>
      </c>
      <c r="F991" s="7" t="s">
        <v>22</v>
      </c>
      <c r="G991" s="7">
        <v>2</v>
      </c>
      <c r="H991" s="8">
        <v>24.12</v>
      </c>
      <c r="I991" s="9">
        <v>5</v>
      </c>
      <c r="J991" s="8">
        <v>45.83</v>
      </c>
      <c r="K991" s="8">
        <v>23.34</v>
      </c>
      <c r="L991" s="10" t="s">
        <v>23</v>
      </c>
    </row>
    <row r="992" spans="1:12" x14ac:dyDescent="0.3">
      <c r="A992" s="5" t="s">
        <v>1736</v>
      </c>
      <c r="B992" s="6">
        <v>45628</v>
      </c>
      <c r="C992" s="7" t="s">
        <v>1737</v>
      </c>
      <c r="D992" s="7" t="s">
        <v>26</v>
      </c>
      <c r="E992" s="7" t="s">
        <v>154</v>
      </c>
      <c r="F992" s="7" t="s">
        <v>39</v>
      </c>
      <c r="G992" s="7">
        <v>1</v>
      </c>
      <c r="H992" s="8">
        <v>53.32</v>
      </c>
      <c r="I992" s="9">
        <v>0</v>
      </c>
      <c r="J992" s="8">
        <v>53.32</v>
      </c>
      <c r="K992" s="8">
        <v>15.24</v>
      </c>
      <c r="L992" s="10" t="s">
        <v>34</v>
      </c>
    </row>
    <row r="993" spans="1:12" x14ac:dyDescent="0.3">
      <c r="A993" s="5" t="s">
        <v>1738</v>
      </c>
      <c r="B993" s="6">
        <v>45503</v>
      </c>
      <c r="C993" s="7" t="s">
        <v>1420</v>
      </c>
      <c r="D993" s="7" t="s">
        <v>20</v>
      </c>
      <c r="E993" s="7" t="s">
        <v>556</v>
      </c>
      <c r="F993" s="7" t="s">
        <v>49</v>
      </c>
      <c r="G993" s="7">
        <v>2</v>
      </c>
      <c r="H993" s="8">
        <v>83.66</v>
      </c>
      <c r="I993" s="9">
        <v>0</v>
      </c>
      <c r="J993" s="8">
        <v>167.32</v>
      </c>
      <c r="K993" s="8">
        <v>87.61</v>
      </c>
      <c r="L993" s="10" t="s">
        <v>23</v>
      </c>
    </row>
    <row r="994" spans="1:12" x14ac:dyDescent="0.3">
      <c r="A994" s="5" t="s">
        <v>1739</v>
      </c>
      <c r="B994" s="6">
        <v>45633</v>
      </c>
      <c r="C994" s="7" t="s">
        <v>861</v>
      </c>
      <c r="D994" s="7" t="s">
        <v>26</v>
      </c>
      <c r="E994" s="7" t="s">
        <v>177</v>
      </c>
      <c r="F994" s="7" t="s">
        <v>49</v>
      </c>
      <c r="G994" s="7">
        <v>2</v>
      </c>
      <c r="H994" s="8">
        <v>75.09</v>
      </c>
      <c r="I994" s="9">
        <v>5</v>
      </c>
      <c r="J994" s="8">
        <v>142.66999999999999</v>
      </c>
      <c r="K994" s="8">
        <v>64.540000000000006</v>
      </c>
      <c r="L994" s="10" t="s">
        <v>23</v>
      </c>
    </row>
    <row r="995" spans="1:12" x14ac:dyDescent="0.3">
      <c r="A995" s="5" t="s">
        <v>1740</v>
      </c>
      <c r="B995" s="6">
        <v>45950</v>
      </c>
      <c r="C995" s="7" t="s">
        <v>543</v>
      </c>
      <c r="D995" s="7" t="s">
        <v>26</v>
      </c>
      <c r="E995" s="7" t="s">
        <v>253</v>
      </c>
      <c r="F995" s="7" t="s">
        <v>49</v>
      </c>
      <c r="G995" s="7">
        <v>2</v>
      </c>
      <c r="H995" s="8">
        <v>67.459999999999994</v>
      </c>
      <c r="I995" s="9">
        <v>25</v>
      </c>
      <c r="J995" s="8">
        <v>101.19</v>
      </c>
      <c r="K995" s="8">
        <v>41.09</v>
      </c>
      <c r="L995" s="10" t="s">
        <v>17</v>
      </c>
    </row>
    <row r="996" spans="1:12" x14ac:dyDescent="0.3">
      <c r="A996" s="5" t="s">
        <v>1741</v>
      </c>
      <c r="B996" s="6">
        <v>45620</v>
      </c>
      <c r="C996" s="7" t="s">
        <v>441</v>
      </c>
      <c r="D996" s="7" t="s">
        <v>42</v>
      </c>
      <c r="E996" s="7" t="s">
        <v>184</v>
      </c>
      <c r="F996" s="7" t="s">
        <v>49</v>
      </c>
      <c r="G996" s="7">
        <v>1</v>
      </c>
      <c r="H996" s="8">
        <v>55.97</v>
      </c>
      <c r="I996" s="9">
        <v>15</v>
      </c>
      <c r="J996" s="8">
        <v>47.57</v>
      </c>
      <c r="K996" s="8">
        <v>20.13</v>
      </c>
      <c r="L996" s="10" t="s">
        <v>17</v>
      </c>
    </row>
    <row r="997" spans="1:12" x14ac:dyDescent="0.3">
      <c r="A997" s="5" t="s">
        <v>1742</v>
      </c>
      <c r="B997" s="6">
        <v>45658</v>
      </c>
      <c r="C997" s="7" t="s">
        <v>357</v>
      </c>
      <c r="D997" s="7" t="s">
        <v>26</v>
      </c>
      <c r="E997" s="7" t="s">
        <v>58</v>
      </c>
      <c r="F997" s="7" t="s">
        <v>49</v>
      </c>
      <c r="G997" s="7">
        <v>1</v>
      </c>
      <c r="H997" s="8">
        <v>74.930000000000007</v>
      </c>
      <c r="I997" s="9">
        <v>25</v>
      </c>
      <c r="J997" s="8">
        <v>56.2</v>
      </c>
      <c r="K997" s="8">
        <v>29.74</v>
      </c>
      <c r="L997" s="10" t="s">
        <v>23</v>
      </c>
    </row>
    <row r="998" spans="1:12" x14ac:dyDescent="0.3">
      <c r="A998" s="5" t="s">
        <v>1743</v>
      </c>
      <c r="B998" s="6">
        <v>45980</v>
      </c>
      <c r="C998" s="7" t="s">
        <v>1744</v>
      </c>
      <c r="D998" s="7" t="s">
        <v>37</v>
      </c>
      <c r="E998" s="7" t="s">
        <v>55</v>
      </c>
      <c r="F998" s="7" t="s">
        <v>16</v>
      </c>
      <c r="G998" s="7">
        <v>2</v>
      </c>
      <c r="H998" s="8">
        <v>83.45</v>
      </c>
      <c r="I998" s="9">
        <v>15</v>
      </c>
      <c r="J998" s="8">
        <v>141.87</v>
      </c>
      <c r="K998" s="8">
        <v>27.23</v>
      </c>
      <c r="L998" s="10" t="s">
        <v>23</v>
      </c>
    </row>
    <row r="999" spans="1:12" x14ac:dyDescent="0.3">
      <c r="A999" s="5" t="s">
        <v>1745</v>
      </c>
      <c r="B999" s="6">
        <v>45944</v>
      </c>
      <c r="C999" s="7" t="s">
        <v>376</v>
      </c>
      <c r="D999" s="7" t="s">
        <v>20</v>
      </c>
      <c r="E999" s="7" t="s">
        <v>556</v>
      </c>
      <c r="F999" s="7" t="s">
        <v>49</v>
      </c>
      <c r="G999" s="7">
        <v>3</v>
      </c>
      <c r="H999" s="8">
        <v>41.47</v>
      </c>
      <c r="I999" s="9">
        <v>10</v>
      </c>
      <c r="J999" s="8">
        <v>111.97</v>
      </c>
      <c r="K999" s="8">
        <v>61.29</v>
      </c>
      <c r="L999" s="10" t="s">
        <v>23</v>
      </c>
    </row>
    <row r="1000" spans="1:12" x14ac:dyDescent="0.3">
      <c r="A1000" s="5" t="s">
        <v>1746</v>
      </c>
      <c r="B1000" s="6">
        <v>45477</v>
      </c>
      <c r="C1000" s="7" t="s">
        <v>1747</v>
      </c>
      <c r="D1000" s="7" t="s">
        <v>14</v>
      </c>
      <c r="E1000" s="7" t="s">
        <v>314</v>
      </c>
      <c r="F1000" s="7" t="s">
        <v>16</v>
      </c>
      <c r="G1000" s="7">
        <v>1</v>
      </c>
      <c r="H1000" s="8">
        <v>75.17</v>
      </c>
      <c r="I1000" s="9">
        <v>15</v>
      </c>
      <c r="J1000" s="8">
        <v>63.89</v>
      </c>
      <c r="K1000" s="8">
        <v>9.31</v>
      </c>
      <c r="L1000" s="10" t="s">
        <v>17</v>
      </c>
    </row>
    <row r="1001" spans="1:12" x14ac:dyDescent="0.3">
      <c r="A1001" s="11" t="s">
        <v>1748</v>
      </c>
      <c r="B1001" s="12">
        <v>45850</v>
      </c>
      <c r="C1001" s="13" t="s">
        <v>1339</v>
      </c>
      <c r="D1001" s="13" t="s">
        <v>42</v>
      </c>
      <c r="E1001" s="13" t="s">
        <v>187</v>
      </c>
      <c r="F1001" s="13" t="s">
        <v>75</v>
      </c>
      <c r="G1001" s="13">
        <v>2</v>
      </c>
      <c r="H1001" s="14">
        <v>16.91</v>
      </c>
      <c r="I1001" s="15">
        <v>10</v>
      </c>
      <c r="J1001" s="14">
        <v>30.44</v>
      </c>
      <c r="K1001" s="14">
        <v>8.57</v>
      </c>
      <c r="L1001" s="16" t="s">
        <v>17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FB9626-4726-4F12-B5F0-9B937A36A025}">
  <dimension ref="A1:O36"/>
  <sheetViews>
    <sheetView topLeftCell="A18" workbookViewId="0">
      <selection activeCell="G17" sqref="G17:H52"/>
    </sheetView>
  </sheetViews>
  <sheetFormatPr defaultRowHeight="14.4" x14ac:dyDescent="0.3"/>
  <cols>
    <col min="1" max="1" width="12.44140625" bestFit="1" customWidth="1"/>
    <col min="2" max="2" width="11.5546875" bestFit="1" customWidth="1"/>
    <col min="4" max="4" width="12.44140625" bestFit="1" customWidth="1"/>
    <col min="5" max="5" width="11.5546875" bestFit="1" customWidth="1"/>
    <col min="6" max="6" width="10.5546875" bestFit="1" customWidth="1"/>
    <col min="7" max="7" width="12.44140625" bestFit="1" customWidth="1"/>
    <col min="8" max="8" width="18.6640625" bestFit="1" customWidth="1"/>
    <col min="9" max="10" width="10.5546875" bestFit="1" customWidth="1"/>
    <col min="15" max="15" width="10.109375" bestFit="1" customWidth="1"/>
  </cols>
  <sheetData>
    <row r="1" spans="1:15" x14ac:dyDescent="0.3">
      <c r="A1" s="23" t="s">
        <v>1759</v>
      </c>
      <c r="B1" t="s">
        <v>1761</v>
      </c>
      <c r="D1" s="23" t="s">
        <v>1759</v>
      </c>
      <c r="E1" t="s">
        <v>1761</v>
      </c>
    </row>
    <row r="2" spans="1:15" x14ac:dyDescent="0.3">
      <c r="A2" s="24" t="s">
        <v>20</v>
      </c>
      <c r="B2" s="1">
        <v>575.66</v>
      </c>
      <c r="D2" s="24" t="s">
        <v>34</v>
      </c>
      <c r="E2" s="1">
        <v>575.66</v>
      </c>
    </row>
    <row r="3" spans="1:15" x14ac:dyDescent="0.3">
      <c r="A3" s="24" t="s">
        <v>1760</v>
      </c>
      <c r="B3" s="1">
        <v>575.66</v>
      </c>
      <c r="D3" s="24" t="s">
        <v>1760</v>
      </c>
      <c r="E3" s="1">
        <v>575.66</v>
      </c>
    </row>
    <row r="7" spans="1:15" x14ac:dyDescent="0.3">
      <c r="D7" s="23" t="s">
        <v>1761</v>
      </c>
      <c r="E7" s="23" t="s">
        <v>1763</v>
      </c>
    </row>
    <row r="8" spans="1:15" x14ac:dyDescent="0.3">
      <c r="D8" s="23" t="s">
        <v>1759</v>
      </c>
      <c r="E8" t="s">
        <v>16</v>
      </c>
      <c r="F8" t="s">
        <v>1760</v>
      </c>
    </row>
    <row r="9" spans="1:15" x14ac:dyDescent="0.3">
      <c r="A9" s="23" t="s">
        <v>1759</v>
      </c>
      <c r="B9" t="s">
        <v>1761</v>
      </c>
      <c r="D9" s="24" t="s">
        <v>20</v>
      </c>
      <c r="E9" s="1">
        <v>575.66</v>
      </c>
      <c r="F9" s="1">
        <v>575.66</v>
      </c>
    </row>
    <row r="10" spans="1:15" x14ac:dyDescent="0.3">
      <c r="A10" s="24" t="s">
        <v>16</v>
      </c>
      <c r="B10" s="1">
        <v>575.66</v>
      </c>
      <c r="D10" s="24" t="s">
        <v>1760</v>
      </c>
      <c r="E10" s="1">
        <v>575.66</v>
      </c>
      <c r="F10" s="1">
        <v>575.66</v>
      </c>
    </row>
    <row r="11" spans="1:15" x14ac:dyDescent="0.3">
      <c r="A11" s="24" t="s">
        <v>1760</v>
      </c>
      <c r="B11" s="1">
        <v>575.66</v>
      </c>
    </row>
    <row r="12" spans="1:15" x14ac:dyDescent="0.3">
      <c r="N12" s="24" t="s">
        <v>22</v>
      </c>
      <c r="O12" s="1">
        <v>12901.090000000004</v>
      </c>
    </row>
    <row r="13" spans="1:15" x14ac:dyDescent="0.3">
      <c r="N13" s="24" t="s">
        <v>49</v>
      </c>
      <c r="O13" s="1">
        <v>18819.66</v>
      </c>
    </row>
    <row r="14" spans="1:15" x14ac:dyDescent="0.3">
      <c r="N14" s="24" t="s">
        <v>16</v>
      </c>
      <c r="O14" s="1">
        <v>27669.229999999996</v>
      </c>
    </row>
    <row r="15" spans="1:15" x14ac:dyDescent="0.3">
      <c r="N15" s="24" t="s">
        <v>39</v>
      </c>
      <c r="O15" s="1">
        <v>16124.64</v>
      </c>
    </row>
    <row r="16" spans="1:15" x14ac:dyDescent="0.3">
      <c r="N16" s="24" t="s">
        <v>75</v>
      </c>
      <c r="O16" s="1">
        <v>14687.990000000009</v>
      </c>
    </row>
    <row r="17" spans="1:8" x14ac:dyDescent="0.3">
      <c r="A17" s="23" t="s">
        <v>1759</v>
      </c>
      <c r="B17" t="s">
        <v>1762</v>
      </c>
      <c r="D17" s="23" t="s">
        <v>1759</v>
      </c>
      <c r="E17" t="s">
        <v>1762</v>
      </c>
      <c r="G17" s="23" t="s">
        <v>1759</v>
      </c>
      <c r="H17" t="s">
        <v>1761</v>
      </c>
    </row>
    <row r="18" spans="1:8" x14ac:dyDescent="0.3">
      <c r="A18" s="24" t="s">
        <v>20</v>
      </c>
      <c r="B18" s="1">
        <v>82.15</v>
      </c>
      <c r="D18" s="24" t="s">
        <v>16</v>
      </c>
      <c r="E18" s="1">
        <v>82.15</v>
      </c>
      <c r="G18" s="24" t="s">
        <v>1764</v>
      </c>
      <c r="H18" s="1">
        <v>540.38</v>
      </c>
    </row>
    <row r="19" spans="1:8" x14ac:dyDescent="0.3">
      <c r="A19" s="24" t="s">
        <v>1760</v>
      </c>
      <c r="B19" s="1">
        <v>82.15</v>
      </c>
      <c r="D19" s="24" t="s">
        <v>1760</v>
      </c>
      <c r="E19" s="1">
        <v>82.15</v>
      </c>
      <c r="G19" s="25" t="s">
        <v>1766</v>
      </c>
      <c r="H19" s="1">
        <v>468.76</v>
      </c>
    </row>
    <row r="20" spans="1:8" x14ac:dyDescent="0.3">
      <c r="G20" s="26" t="s">
        <v>1767</v>
      </c>
      <c r="H20" s="1">
        <v>127.52</v>
      </c>
    </row>
    <row r="21" spans="1:8" x14ac:dyDescent="0.3">
      <c r="G21" s="26" t="s">
        <v>1768</v>
      </c>
      <c r="H21" s="1">
        <v>168.81</v>
      </c>
    </row>
    <row r="22" spans="1:8" x14ac:dyDescent="0.3">
      <c r="G22" s="26" t="s">
        <v>1769</v>
      </c>
      <c r="H22" s="1">
        <v>172.43</v>
      </c>
    </row>
    <row r="23" spans="1:8" x14ac:dyDescent="0.3">
      <c r="G23" s="25" t="s">
        <v>1772</v>
      </c>
      <c r="H23" s="1">
        <v>71.62</v>
      </c>
    </row>
    <row r="24" spans="1:8" x14ac:dyDescent="0.3">
      <c r="G24" s="26" t="s">
        <v>1773</v>
      </c>
      <c r="H24" s="1">
        <v>71.62</v>
      </c>
    </row>
    <row r="25" spans="1:8" x14ac:dyDescent="0.3">
      <c r="A25" s="23" t="s">
        <v>1759</v>
      </c>
      <c r="B25" t="s">
        <v>1762</v>
      </c>
      <c r="G25" s="24" t="s">
        <v>1765</v>
      </c>
      <c r="H25" s="1">
        <v>35.28</v>
      </c>
    </row>
    <row r="26" spans="1:8" x14ac:dyDescent="0.3">
      <c r="A26" s="24" t="s">
        <v>1764</v>
      </c>
      <c r="B26" s="1">
        <v>74.53</v>
      </c>
      <c r="G26" s="25" t="s">
        <v>1770</v>
      </c>
      <c r="H26" s="1">
        <v>35.28</v>
      </c>
    </row>
    <row r="27" spans="1:8" x14ac:dyDescent="0.3">
      <c r="A27" s="25" t="s">
        <v>1766</v>
      </c>
      <c r="B27" s="1">
        <v>65.14</v>
      </c>
      <c r="G27" s="26" t="s">
        <v>1771</v>
      </c>
      <c r="H27" s="1">
        <v>35.28</v>
      </c>
    </row>
    <row r="28" spans="1:8" x14ac:dyDescent="0.3">
      <c r="A28" s="26" t="s">
        <v>1767</v>
      </c>
      <c r="B28" s="1">
        <v>13.01</v>
      </c>
      <c r="G28" s="24" t="s">
        <v>1760</v>
      </c>
      <c r="H28" s="1">
        <v>575.66</v>
      </c>
    </row>
    <row r="29" spans="1:8" x14ac:dyDescent="0.3">
      <c r="A29" s="26" t="s">
        <v>1768</v>
      </c>
      <c r="B29" s="1">
        <v>27.47</v>
      </c>
    </row>
    <row r="30" spans="1:8" x14ac:dyDescent="0.3">
      <c r="A30" s="26" t="s">
        <v>1769</v>
      </c>
      <c r="B30" s="1">
        <v>24.66</v>
      </c>
    </row>
    <row r="31" spans="1:8" x14ac:dyDescent="0.3">
      <c r="A31" s="25" t="s">
        <v>1772</v>
      </c>
      <c r="B31" s="1">
        <v>9.39</v>
      </c>
    </row>
    <row r="32" spans="1:8" x14ac:dyDescent="0.3">
      <c r="A32" s="26" t="s">
        <v>1773</v>
      </c>
      <c r="B32" s="1">
        <v>9.39</v>
      </c>
    </row>
    <row r="33" spans="1:2" x14ac:dyDescent="0.3">
      <c r="A33" s="24" t="s">
        <v>1765</v>
      </c>
      <c r="B33" s="1">
        <v>7.62</v>
      </c>
    </row>
    <row r="34" spans="1:2" x14ac:dyDescent="0.3">
      <c r="A34" s="25" t="s">
        <v>1770</v>
      </c>
      <c r="B34" s="1">
        <v>7.62</v>
      </c>
    </row>
    <row r="35" spans="1:2" x14ac:dyDescent="0.3">
      <c r="A35" s="26" t="s">
        <v>1771</v>
      </c>
      <c r="B35" s="1">
        <v>7.62</v>
      </c>
    </row>
    <row r="36" spans="1:2" x14ac:dyDescent="0.3">
      <c r="A36" s="24" t="s">
        <v>1760</v>
      </c>
      <c r="B36" s="1">
        <v>82.15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6E524-A350-4F91-9FBC-033208F99AD7}">
  <dimension ref="A1:B9"/>
  <sheetViews>
    <sheetView workbookViewId="0">
      <selection activeCell="B3" sqref="B3"/>
    </sheetView>
  </sheetViews>
  <sheetFormatPr defaultRowHeight="14.4" x14ac:dyDescent="0.3"/>
  <cols>
    <col min="1" max="1" width="17.5546875" bestFit="1" customWidth="1"/>
    <col min="2" max="2" width="11.109375" bestFit="1" customWidth="1"/>
  </cols>
  <sheetData>
    <row r="1" spans="1:2" x14ac:dyDescent="0.3">
      <c r="A1" s="17" t="s">
        <v>1749</v>
      </c>
      <c r="B1" s="18" t="s">
        <v>1751</v>
      </c>
    </row>
    <row r="2" spans="1:2" x14ac:dyDescent="0.3">
      <c r="A2" s="19" t="s">
        <v>1750</v>
      </c>
      <c r="B2" s="35">
        <f>SUM(SalesData[Total Revenue])</f>
        <v>90202.609999999928</v>
      </c>
    </row>
    <row r="3" spans="1:2" x14ac:dyDescent="0.3">
      <c r="A3" s="10" t="s">
        <v>1752</v>
      </c>
      <c r="B3" s="36">
        <f>SUM(SalesData[Profit])</f>
        <v>28148.130000000034</v>
      </c>
    </row>
    <row r="4" spans="1:2" x14ac:dyDescent="0.3">
      <c r="A4" t="s">
        <v>1753</v>
      </c>
      <c r="B4">
        <f>COUNTA(SalesData[Order ID])</f>
        <v>1000</v>
      </c>
    </row>
    <row r="5" spans="1:2" x14ac:dyDescent="0.3">
      <c r="A5" t="s">
        <v>1754</v>
      </c>
      <c r="B5" s="20">
        <f>AVERAGE(SalesData[Total Revenue])</f>
        <v>90.202609999999922</v>
      </c>
    </row>
    <row r="6" spans="1:2" x14ac:dyDescent="0.3">
      <c r="A6" t="s">
        <v>1755</v>
      </c>
      <c r="B6">
        <f>SUM(SalesData[Quantity])</f>
        <v>2029</v>
      </c>
    </row>
    <row r="7" spans="1:2" x14ac:dyDescent="0.3">
      <c r="A7" t="s">
        <v>1756</v>
      </c>
      <c r="B7" s="21">
        <f>MAX(SalesData[Total Revenue])</f>
        <v>619.75</v>
      </c>
    </row>
    <row r="8" spans="1:2" x14ac:dyDescent="0.3">
      <c r="A8" t="s">
        <v>1757</v>
      </c>
      <c r="B8" s="21">
        <f>MIN(SalesData[Total Revenue])</f>
        <v>6.43</v>
      </c>
    </row>
    <row r="9" spans="1:2" x14ac:dyDescent="0.3">
      <c r="A9" t="s">
        <v>1758</v>
      </c>
      <c r="B9" s="22">
        <f>B3/B2</f>
        <v>0.31205449598409685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81ECC-9CE8-4B1E-892E-4FFBDAECA234}">
  <dimension ref="A1:AI43"/>
  <sheetViews>
    <sheetView showGridLines="0" showRowColHeaders="0" tabSelected="1" zoomScale="98" zoomScaleNormal="100" workbookViewId="0">
      <selection activeCell="J43" sqref="J43"/>
    </sheetView>
  </sheetViews>
  <sheetFormatPr defaultRowHeight="14.4" x14ac:dyDescent="0.3"/>
  <cols>
    <col min="1" max="1" width="8.88671875" style="27" customWidth="1"/>
    <col min="2" max="2" width="8.88671875" style="27"/>
    <col min="3" max="3" width="8.88671875" style="27" customWidth="1"/>
    <col min="4" max="5" width="8.88671875" style="27"/>
    <col min="6" max="6" width="8.88671875" style="27" customWidth="1"/>
    <col min="7" max="8" width="8.88671875" style="27"/>
    <col min="9" max="9" width="8.88671875" style="27" customWidth="1"/>
    <col min="10" max="10" width="8.88671875" style="27"/>
    <col min="11" max="37" width="8.88671875" style="27" customWidth="1"/>
    <col min="38" max="16384" width="8.88671875" style="27"/>
  </cols>
  <sheetData>
    <row r="1" spans="1:35" ht="31.2" x14ac:dyDescent="0.6">
      <c r="A1" s="30"/>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3"/>
      <c r="AE1" s="33"/>
      <c r="AF1" s="33"/>
      <c r="AG1" s="33"/>
      <c r="AH1" s="33"/>
      <c r="AI1" s="33"/>
    </row>
    <row r="2" spans="1:35" ht="18.600000000000001" customHeight="1" x14ac:dyDescent="0.35">
      <c r="B2" s="28"/>
      <c r="C2" s="28"/>
      <c r="D2" s="28"/>
      <c r="E2" s="28"/>
    </row>
    <row r="3" spans="1:35" ht="18" customHeight="1" x14ac:dyDescent="0.3">
      <c r="B3" s="32"/>
      <c r="C3" s="32"/>
      <c r="D3" s="32"/>
      <c r="E3" s="32"/>
      <c r="F3" s="32"/>
      <c r="G3" s="32"/>
      <c r="H3" s="32"/>
      <c r="I3" s="32"/>
      <c r="J3" s="32"/>
      <c r="K3" s="32"/>
      <c r="L3" s="32"/>
      <c r="M3" s="32"/>
      <c r="N3" s="32"/>
      <c r="O3" s="32"/>
      <c r="P3" s="32"/>
      <c r="Q3" s="32"/>
      <c r="R3" s="32"/>
      <c r="S3" s="32"/>
      <c r="T3" s="32"/>
      <c r="U3" s="32"/>
      <c r="V3" s="32"/>
      <c r="W3" s="32"/>
      <c r="X3" s="32"/>
      <c r="Y3" s="32"/>
      <c r="Z3" s="32"/>
      <c r="AA3" s="32"/>
      <c r="AB3" s="32"/>
      <c r="AC3" s="32"/>
    </row>
    <row r="4" spans="1:35" ht="15.6" customHeight="1" x14ac:dyDescent="0.3">
      <c r="B4" s="32"/>
      <c r="C4" s="32"/>
      <c r="D4" s="32"/>
      <c r="E4" s="32"/>
      <c r="F4" s="32"/>
      <c r="G4" s="32"/>
      <c r="H4" s="32"/>
      <c r="I4" s="32"/>
      <c r="J4" s="32"/>
      <c r="K4" s="32"/>
      <c r="L4" s="32"/>
      <c r="M4" s="32"/>
      <c r="N4" s="32"/>
      <c r="O4" s="32"/>
      <c r="P4" s="32"/>
      <c r="Q4" s="32"/>
      <c r="R4" s="32"/>
      <c r="S4" s="32"/>
      <c r="T4" s="32"/>
      <c r="U4" s="32"/>
      <c r="V4" s="32"/>
      <c r="W4" s="32"/>
      <c r="X4" s="32"/>
      <c r="Y4" s="32"/>
      <c r="Z4" s="32"/>
      <c r="AA4" s="32"/>
      <c r="AB4" s="32"/>
      <c r="AC4" s="32"/>
    </row>
    <row r="5" spans="1:35" ht="14.4" customHeight="1" x14ac:dyDescent="0.3">
      <c r="B5" s="32"/>
      <c r="C5" s="32"/>
      <c r="D5" s="32"/>
      <c r="E5" s="32"/>
      <c r="F5" s="32"/>
      <c r="G5" s="32"/>
      <c r="H5" s="32"/>
      <c r="I5" s="32"/>
      <c r="J5" s="32"/>
      <c r="K5" s="32"/>
      <c r="L5" s="32"/>
      <c r="M5" s="32"/>
      <c r="N5" s="32"/>
      <c r="O5" s="32"/>
      <c r="P5" s="32"/>
      <c r="Q5" s="32"/>
      <c r="R5" s="32"/>
      <c r="S5" s="32"/>
      <c r="T5" s="32"/>
      <c r="U5" s="32"/>
      <c r="V5" s="32"/>
      <c r="W5" s="32"/>
      <c r="X5" s="32"/>
      <c r="Y5" s="32"/>
      <c r="Z5" s="32"/>
      <c r="AA5" s="32"/>
      <c r="AB5" s="32"/>
      <c r="AC5" s="32"/>
    </row>
    <row r="6" spans="1:35" ht="18" customHeight="1" x14ac:dyDescent="0.35">
      <c r="A6" s="28"/>
      <c r="B6" s="32"/>
      <c r="C6" s="32"/>
      <c r="D6" s="32"/>
      <c r="E6" s="32"/>
      <c r="F6" s="32"/>
      <c r="G6" s="32"/>
      <c r="H6" s="32"/>
      <c r="I6" s="32"/>
      <c r="J6" s="32"/>
      <c r="K6" s="32"/>
      <c r="L6" s="32"/>
      <c r="M6" s="32"/>
      <c r="N6" s="32"/>
      <c r="O6" s="32"/>
      <c r="P6" s="32"/>
      <c r="Q6" s="32"/>
      <c r="R6" s="32"/>
      <c r="S6" s="32"/>
      <c r="T6" s="32"/>
      <c r="U6" s="32"/>
      <c r="V6" s="32"/>
      <c r="W6" s="32"/>
      <c r="X6" s="32"/>
      <c r="Y6" s="32"/>
      <c r="Z6" s="32"/>
      <c r="AA6" s="32"/>
      <c r="AB6" s="32"/>
      <c r="AC6" s="32"/>
    </row>
    <row r="7" spans="1:35" ht="18" x14ac:dyDescent="0.35">
      <c r="A7" s="29"/>
      <c r="B7" s="29"/>
      <c r="C7" s="29"/>
      <c r="E7" s="29"/>
      <c r="F7" s="29"/>
      <c r="G7" s="29"/>
      <c r="I7" s="29"/>
      <c r="J7" s="29"/>
      <c r="K7" s="29"/>
    </row>
    <row r="10" spans="1:35" x14ac:dyDescent="0.3">
      <c r="AA10" s="34"/>
    </row>
    <row r="14" spans="1:35" ht="13.2" customHeight="1" x14ac:dyDescent="0.3"/>
    <row r="43" spans="15:15" x14ac:dyDescent="0.3">
      <c r="O43" s="27" t="str">
        <f ca="1">"Last Updated: "&amp;TEXT(TODAY(),"dd-mmm-yyyy")</f>
        <v>Last Updated: 19-Sep-2026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Pivot table</vt:lpstr>
      <vt:lpstr>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Sumit Bansal</dc:creator>
  <cp:lastModifiedBy>Mayur Barase</cp:lastModifiedBy>
  <dcterms:created xsi:type="dcterms:W3CDTF">2026-03-11T02:30:25Z</dcterms:created>
  <dcterms:modified xsi:type="dcterms:W3CDTF">2026-09-19T13:02:17Z</dcterms:modified>
</cp:coreProperties>
</file>